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ive\DataMining\"/>
    </mc:Choice>
  </mc:AlternateContent>
  <bookViews>
    <workbookView xWindow="1860" yWindow="0" windowWidth="25125" windowHeight="1272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G12" i="1" l="1"/>
  <c r="F12" i="1"/>
  <c r="F13" i="1" l="1"/>
  <c r="E13" i="1"/>
  <c r="G13" i="1"/>
</calcChain>
</file>

<file path=xl/sharedStrings.xml><?xml version="1.0" encoding="utf-8"?>
<sst xmlns="http://schemas.openxmlformats.org/spreadsheetml/2006/main" count="22" uniqueCount="19">
  <si>
    <t>Optimistic</t>
  </si>
  <si>
    <t>Nominal</t>
  </si>
  <si>
    <t>Pessimistic</t>
  </si>
  <si>
    <t>Expectation</t>
  </si>
  <si>
    <t>Variation</t>
  </si>
  <si>
    <t>Task</t>
  </si>
  <si>
    <t>Rearrange the data mining UI</t>
  </si>
  <si>
    <t>Add annotations to mark methods for the function registry</t>
  </si>
  <si>
    <t>Implement a FunctionRegistry</t>
  </si>
  <si>
    <t>Implement a FunctionRetriever</t>
  </si>
  <si>
    <t>Add persistence bundle for the data mining</t>
  </si>
  <si>
    <t>Replace static dimensions with @Dimension</t>
  </si>
  <si>
    <t>Implement a simple UI-Prototype for a function editor</t>
  </si>
  <si>
    <t>h: Hours</t>
  </si>
  <si>
    <t>d: Days = 8 h</t>
  </si>
  <si>
    <t>w: Weeks = 2.5 d</t>
  </si>
  <si>
    <t>Total duration and variation</t>
  </si>
  <si>
    <t>Formatted duration</t>
  </si>
  <si>
    <t>Finished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</si>
</sst>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\ &quot;h&quot;"/>
    <numFmt numFmtId="165" formatCode="0.00\ &quot;h&quot;"/>
    <numFmt numFmtId="166" formatCode="0\ &quot;d&quot;"/>
    <numFmt numFmtId="167" formatCode="0\ &quot;w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165" fontId="1" fillId="0" borderId="1" xfId="0" applyNumberFormat="1" applyFont="1" applyBorder="1" applyAlignment="1">
      <alignment horizontal="center" vertical="center"/>
    </xf>
    <xf numFmtId="0" fontId="0" fillId="0" borderId="3" xfId="0" applyBorder="1"/>
    <xf numFmtId="167" fontId="1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1" fillId="0" borderId="2" xfId="0" applyFont="1" applyBorder="1"/>
  </cellXfs>
  <cellStyles count="1">
    <cellStyle name="Standard" xfId="0" builtinId="0"/>
  </cellStyles>
  <dxfs count="13">
    <dxf>
      <numFmt numFmtId="165" formatCode="0.00\ &quot;h&quot;"/>
      <alignment horizontal="center" vertical="center" textRotation="0" wrapText="0" indent="0" justifyLastLine="0" shrinkToFit="0" readingOrder="0"/>
    </dxf>
    <dxf>
      <numFmt numFmtId="165" formatCode="0.00\ &quot;h&quot;"/>
      <alignment horizontal="center" vertical="center" textRotation="0" wrapText="0" indent="0" justifyLastLine="0" shrinkToFit="0" readingOrder="0"/>
    </dxf>
    <dxf>
      <numFmt numFmtId="164" formatCode="0\ &quot;h&quot;"/>
      <alignment horizontal="center" vertical="center" textRotation="0" wrapText="0" indent="0" justifyLastLine="0" shrinkToFit="0" readingOrder="0"/>
    </dxf>
    <dxf>
      <numFmt numFmtId="164" formatCode="0\ &quot;h&quot;"/>
      <alignment horizontal="center" vertical="center" textRotation="0" wrapText="0" indent="0" justifyLastLine="0" shrinkToFit="0" readingOrder="0"/>
    </dxf>
    <dxf>
      <numFmt numFmtId="164" formatCode="0\ &quot;h&quot;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5" formatCode="0.00\ &quot;h&quot;"/>
      <alignment horizontal="center" vertical="center" textRotation="0" wrapText="0" indent="0" justifyLastLine="0" shrinkToFit="0" readingOrder="0"/>
    </dxf>
    <dxf>
      <numFmt numFmtId="165" formatCode="0.00\ &quot;h&quot;"/>
      <alignment horizontal="center" vertical="center" textRotation="0" wrapText="0" indent="0" justifyLastLine="0" shrinkToFit="0" readingOrder="0"/>
    </dxf>
    <dxf>
      <numFmt numFmtId="164" formatCode="0\ &quot;h&quot;"/>
      <alignment horizontal="center" vertical="center" textRotation="0" wrapText="0" indent="0" justifyLastLine="0" shrinkToFit="0" readingOrder="0"/>
    </dxf>
    <dxf>
      <numFmt numFmtId="164" formatCode="0\ &quot;h&quot;"/>
      <alignment horizontal="center" vertical="center" textRotation="0" wrapText="0" indent="0" justifyLastLine="0" shrinkToFit="0" readingOrder="0"/>
    </dxf>
    <dxf>
      <numFmt numFmtId="164" formatCode="0\ &quot;h&quot;"/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B2:G12" totalsRowCount="1" dataDxfId="12">
  <autoFilter ref="B2:G11"/>
  <tableColumns count="6">
    <tableColumn id="6" name="Task" totalsRowLabel="Total duration and variation" dataDxfId="11" totalsRowDxfId="5"/>
    <tableColumn id="1" name="Optimistic" dataDxfId="10" totalsRowDxfId="4"/>
    <tableColumn id="2" name="Nominal" dataDxfId="9" totalsRowDxfId="3"/>
    <tableColumn id="3" name="Pessimistic" dataDxfId="8" totalsRowDxfId="2"/>
    <tableColumn id="4" name="Expectation" totalsRowFunction="sum" dataDxfId="7" totalsRowDxfId="1">
      <calculatedColumnFormula>(Tabelle1[[#This Row],[Optimistic]]+4*Tabelle1[[#This Row],[Nominal]]+Tabelle1[[#This Row],[Pessimistic]])/6</calculatedColumnFormula>
    </tableColumn>
    <tableColumn id="5" name="Variation" totalsRowFunction="custom" dataDxfId="6" totalsRowDxfId="0">
      <calculatedColumnFormula>(Tabelle1[[#This Row],[Pessimistic]]-Tabelle1[[#This Row],[Optimistic]])/6</calculatedColumnFormula>
      <totalsRowFormula>SQRT(SUMSQ(Tabelle1[Variation]))</totalsRow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elle2" displayName="Tabelle2" ref="I2:L11" totalsRowShown="0">
  <autoFilter ref="I2:L11"/>
  <tableColumns count="4">
    <tableColumn id="1" name="Finished Task"/>
    <tableColumn id="2" name="Optimistic"/>
    <tableColumn id="3" name="Nominal"/>
    <tableColumn id="4" name="Pessimistic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"/>
  <sheetViews>
    <sheetView tabSelected="1" workbookViewId="0">
      <selection activeCell="E17" sqref="E17"/>
    </sheetView>
  </sheetViews>
  <sheetFormatPr baseColWidth="10" defaultRowHeight="15" x14ac:dyDescent="0.25"/>
  <cols>
    <col min="2" max="2" width="31.28515625" customWidth="1"/>
    <col min="3" max="3" width="12.42578125" bestFit="1" customWidth="1"/>
    <col min="4" max="4" width="10.85546875" bestFit="1" customWidth="1"/>
    <col min="5" max="5" width="13.140625" bestFit="1" customWidth="1"/>
    <col min="6" max="6" width="13.7109375" bestFit="1" customWidth="1"/>
    <col min="7" max="7" width="12.5703125" bestFit="1" customWidth="1"/>
    <col min="9" max="9" width="33.140625" customWidth="1"/>
    <col min="10" max="10" width="12.28515625" customWidth="1"/>
    <col min="12" max="12" width="13" customWidth="1"/>
  </cols>
  <sheetData>
    <row r="2" spans="2:12" x14ac:dyDescent="0.25">
      <c r="B2" t="s">
        <v>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I2" t="s">
        <v>18</v>
      </c>
      <c r="J2" t="s">
        <v>0</v>
      </c>
      <c r="K2" t="s">
        <v>1</v>
      </c>
      <c r="L2" t="s">
        <v>2</v>
      </c>
    </row>
    <row r="3" spans="2:12" x14ac:dyDescent="0.25">
      <c r="B3" s="2"/>
      <c r="C3" s="3"/>
      <c r="D3" s="3"/>
      <c r="E3" s="3"/>
      <c r="F3" s="4">
        <f>(Tabelle1[[#This Row],[Optimistic]]+4*Tabelle1[[#This Row],[Nominal]]+Tabelle1[[#This Row],[Pessimistic]])/6</f>
        <v>0</v>
      </c>
      <c r="G3" s="4">
        <f>(Tabelle1[[#This Row],[Pessimistic]]-Tabelle1[[#This Row],[Optimistic]])/6</f>
        <v>0</v>
      </c>
      <c r="I3" s="2" t="s">
        <v>6</v>
      </c>
      <c r="J3" s="3">
        <v>1</v>
      </c>
      <c r="K3" s="3">
        <v>2.5</v>
      </c>
      <c r="L3" s="3">
        <v>12</v>
      </c>
    </row>
    <row r="4" spans="2:12" ht="30" x14ac:dyDescent="0.25">
      <c r="B4" s="2"/>
      <c r="C4" s="3"/>
      <c r="D4" s="3"/>
      <c r="E4" s="3"/>
      <c r="F4" s="4">
        <f>(Tabelle1[[#This Row],[Optimistic]]+4*Tabelle1[[#This Row],[Nominal]]+Tabelle1[[#This Row],[Pessimistic]])/6</f>
        <v>0</v>
      </c>
      <c r="G4" s="4">
        <f>(Tabelle1[[#This Row],[Pessimistic]]-Tabelle1[[#This Row],[Optimistic]])/6</f>
        <v>0</v>
      </c>
      <c r="I4" s="2" t="s">
        <v>7</v>
      </c>
      <c r="J4" s="3">
        <v>2</v>
      </c>
      <c r="K4" s="3">
        <v>4.5</v>
      </c>
      <c r="L4" s="3">
        <v>15</v>
      </c>
    </row>
    <row r="5" spans="2:12" x14ac:dyDescent="0.25">
      <c r="B5" s="2"/>
      <c r="C5" s="3"/>
      <c r="D5" s="3"/>
      <c r="E5" s="3"/>
      <c r="F5" s="4">
        <f>(Tabelle1[[#This Row],[Optimistic]]+4*Tabelle1[[#This Row],[Nominal]]+Tabelle1[[#This Row],[Pessimistic]])/6</f>
        <v>0</v>
      </c>
      <c r="G5" s="4">
        <f>(Tabelle1[[#This Row],[Pessimistic]]-Tabelle1[[#This Row],[Optimistic]])/6</f>
        <v>0</v>
      </c>
      <c r="I5" s="2" t="s">
        <v>8</v>
      </c>
      <c r="J5" s="3">
        <v>3</v>
      </c>
      <c r="K5" s="3">
        <v>7</v>
      </c>
      <c r="L5" s="3">
        <v>25</v>
      </c>
    </row>
    <row r="6" spans="2:12" x14ac:dyDescent="0.25">
      <c r="B6" s="2"/>
      <c r="C6" s="3"/>
      <c r="D6" s="3"/>
      <c r="E6" s="3"/>
      <c r="F6" s="4">
        <f>(Tabelle1[[#This Row],[Optimistic]]+4*Tabelle1[[#This Row],[Nominal]]+Tabelle1[[#This Row],[Pessimistic]])/6</f>
        <v>0</v>
      </c>
      <c r="G6" s="4">
        <f>(Tabelle1[[#This Row],[Pessimistic]]-Tabelle1[[#This Row],[Optimistic]])/6</f>
        <v>0</v>
      </c>
      <c r="I6" s="2" t="s">
        <v>9</v>
      </c>
      <c r="J6" s="3">
        <v>2</v>
      </c>
      <c r="K6" s="3">
        <v>5</v>
      </c>
      <c r="L6" s="3">
        <v>18</v>
      </c>
    </row>
    <row r="7" spans="2:12" ht="30" x14ac:dyDescent="0.25">
      <c r="B7" s="2"/>
      <c r="C7" s="3"/>
      <c r="D7" s="3"/>
      <c r="E7" s="3"/>
      <c r="F7" s="4">
        <f>(Tabelle1[[#This Row],[Optimistic]]+4*Tabelle1[[#This Row],[Nominal]]+Tabelle1[[#This Row],[Pessimistic]])/6</f>
        <v>0</v>
      </c>
      <c r="G7" s="4">
        <f>(Tabelle1[[#This Row],[Pessimistic]]-Tabelle1[[#This Row],[Optimistic]])/6</f>
        <v>0</v>
      </c>
      <c r="I7" s="2" t="s">
        <v>10</v>
      </c>
      <c r="J7" s="3">
        <v>1</v>
      </c>
      <c r="K7" s="3">
        <v>1.5</v>
      </c>
      <c r="L7" s="3">
        <v>6</v>
      </c>
    </row>
    <row r="8" spans="2:12" ht="30" x14ac:dyDescent="0.25">
      <c r="B8" s="2" t="s">
        <v>11</v>
      </c>
      <c r="C8" s="3">
        <v>5</v>
      </c>
      <c r="D8" s="3">
        <v>11</v>
      </c>
      <c r="E8" s="3">
        <v>24</v>
      </c>
      <c r="F8" s="4">
        <f>(Tabelle1[[#This Row],[Optimistic]]+4*Tabelle1[[#This Row],[Nominal]]+Tabelle1[[#This Row],[Pessimistic]])/6</f>
        <v>12.166666666666666</v>
      </c>
      <c r="G8" s="4">
        <f>(Tabelle1[[#This Row],[Pessimistic]]-Tabelle1[[#This Row],[Optimistic]])/6</f>
        <v>3.1666666666666665</v>
      </c>
    </row>
    <row r="9" spans="2:12" ht="30" x14ac:dyDescent="0.25">
      <c r="B9" s="2" t="s">
        <v>12</v>
      </c>
      <c r="C9" s="3">
        <v>6.5</v>
      </c>
      <c r="D9" s="3">
        <v>12</v>
      </c>
      <c r="E9" s="3">
        <v>20</v>
      </c>
      <c r="F9" s="4">
        <f>(Tabelle1[[#This Row],[Optimistic]]+4*Tabelle1[[#This Row],[Nominal]]+Tabelle1[[#This Row],[Pessimistic]])/6</f>
        <v>12.416666666666666</v>
      </c>
      <c r="G9" s="4">
        <f>(Tabelle1[[#This Row],[Pessimistic]]-Tabelle1[[#This Row],[Optimistic]])/6</f>
        <v>2.25</v>
      </c>
    </row>
    <row r="10" spans="2:12" x14ac:dyDescent="0.25">
      <c r="B10" s="2"/>
      <c r="C10" s="3"/>
      <c r="D10" s="3"/>
      <c r="E10" s="3"/>
      <c r="F10" s="4">
        <f>(Tabelle1[[#This Row],[Optimistic]]+4*Tabelle1[[#This Row],[Nominal]]+Tabelle1[[#This Row],[Pessimistic]])/6</f>
        <v>0</v>
      </c>
      <c r="G10" s="4">
        <f>(Tabelle1[[#This Row],[Pessimistic]]-Tabelle1[[#This Row],[Optimistic]])/6</f>
        <v>0</v>
      </c>
    </row>
    <row r="11" spans="2:12" x14ac:dyDescent="0.25">
      <c r="B11" s="2"/>
      <c r="C11" s="3"/>
      <c r="D11" s="3"/>
      <c r="E11" s="3"/>
      <c r="F11" s="4">
        <f>(Tabelle1[[#This Row],[Optimistic]]+4*Tabelle1[[#This Row],[Nominal]]+Tabelle1[[#This Row],[Pessimistic]])/6</f>
        <v>0</v>
      </c>
      <c r="G11" s="4">
        <f>(Tabelle1[[#This Row],[Pessimistic]]-Tabelle1[[#This Row],[Optimistic]])/6</f>
        <v>0</v>
      </c>
    </row>
    <row r="12" spans="2:12" x14ac:dyDescent="0.25">
      <c r="B12" s="1" t="s">
        <v>16</v>
      </c>
      <c r="C12" s="3"/>
      <c r="D12" s="3"/>
      <c r="E12" s="3"/>
      <c r="F12" s="4">
        <f>SUBTOTAL(109,Tabelle1[Expectation])</f>
        <v>24.583333333333332</v>
      </c>
      <c r="G12" s="4">
        <f>SQRT(SUMSQ(Tabelle1[Variation]))</f>
        <v>3.8846206736022215</v>
      </c>
    </row>
    <row r="13" spans="2:12" x14ac:dyDescent="0.25">
      <c r="B13" s="11" t="s">
        <v>17</v>
      </c>
      <c r="C13" s="8"/>
      <c r="D13" s="8"/>
      <c r="E13" s="9">
        <f>INT(Tabelle1[[#Totals],[Expectation]]/(8 * 2.5))</f>
        <v>1</v>
      </c>
      <c r="F13" s="10">
        <f>INT(MOD(Tabelle1[[#Totals],[Expectation]],8 * 2.5)/8)</f>
        <v>0</v>
      </c>
      <c r="G13" s="7">
        <f>MOD(Tabelle1[[#Totals],[Expectation]], 8)</f>
        <v>0.58333333333333215</v>
      </c>
      <c r="J13" s="5"/>
    </row>
    <row r="15" spans="2:12" x14ac:dyDescent="0.25">
      <c r="B15" s="6" t="s">
        <v>13</v>
      </c>
    </row>
    <row r="16" spans="2:12" x14ac:dyDescent="0.25">
      <c r="B16" s="6" t="s">
        <v>14</v>
      </c>
    </row>
    <row r="17" spans="2:2" x14ac:dyDescent="0.25">
      <c r="B17" s="6" t="s">
        <v>15</v>
      </c>
    </row>
  </sheetData>
  <pageMargins left="0.7" right="0.7" top="0.78740157499999996" bottom="0.78740157499999996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Lennart Hensler</dc:creator>
  <cp:lastModifiedBy>Lennart Hensler</cp:lastModifiedBy>
  <dcterms:created xsi:type="dcterms:W3CDTF">2014-01-15T11:53:26Z</dcterms:created>
  <dcterms:modified xsi:type="dcterms:W3CDTF">2014-01-28T10:56:30Z</dcterms:modified>
</cp:coreProperties>
</file>