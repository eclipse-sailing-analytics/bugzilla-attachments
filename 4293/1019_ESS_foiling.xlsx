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927"/>
  <workbookPr/>
  <mc:AlternateContent xmlns:mc="http://schemas.openxmlformats.org/markup-compatibility/2006">
    <mc:Choice Requires="x15">
      <x15ac:absPath xmlns:x15ac="http://schemas.microsoft.com/office/spreadsheetml/2010/11/ac" url="C:\tmp\"/>
    </mc:Choice>
  </mc:AlternateContent>
  <bookViews>
    <workbookView xWindow="924" yWindow="435" windowWidth="33595" windowHeight="20486" tabRatio="500"/>
  </bookViews>
  <sheets>
    <sheet name="ESS Barcelona" sheetId="1" r:id="rId1"/>
  </sheets>
  <calcPr calcId="171027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21" i="1" l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4" i="1"/>
  <c r="G5" i="1"/>
  <c r="G6" i="1"/>
  <c r="G7" i="1"/>
  <c r="G8" i="1"/>
  <c r="G9" i="1"/>
  <c r="G10" i="1"/>
  <c r="G3" i="1"/>
  <c r="F4" i="1"/>
  <c r="F5" i="1"/>
  <c r="F6" i="1"/>
  <c r="F7" i="1"/>
  <c r="F8" i="1"/>
  <c r="F9" i="1"/>
  <c r="F10" i="1"/>
  <c r="F3" i="1"/>
</calcChain>
</file>

<file path=xl/sharedStrings.xml><?xml version="1.0" encoding="utf-8"?>
<sst xmlns="http://schemas.openxmlformats.org/spreadsheetml/2006/main" count="93" uniqueCount="28">
  <si>
    <t>Alinghi</t>
  </si>
  <si>
    <t>FNOB Impulse</t>
  </si>
  <si>
    <t>LR BAR Academy</t>
  </si>
  <si>
    <t>NZ Extreme</t>
  </si>
  <si>
    <t>Oman Air</t>
  </si>
  <si>
    <t>Red Bull</t>
  </si>
  <si>
    <t>SAP Extreme</t>
  </si>
  <si>
    <t>Team Extreme</t>
  </si>
  <si>
    <t>Distance foiled (m)</t>
  </si>
  <si>
    <t>Time spent foiling (s)</t>
  </si>
  <si>
    <t>Average Foiling Time per Segment (s)</t>
  </si>
  <si>
    <t>Distance Sailed (m)</t>
  </si>
  <si>
    <t>Time Sailed (s)</t>
  </si>
  <si>
    <t>% Time Foiled</t>
  </si>
  <si>
    <t>% Distance Foiled</t>
  </si>
  <si>
    <t>Foiled Segments</t>
  </si>
  <si>
    <t>When Foiling:</t>
  </si>
  <si>
    <t>Avg Ride Height (m)</t>
  </si>
  <si>
    <t>Avg Pitch</t>
  </si>
  <si>
    <t>Avg Heel</t>
  </si>
  <si>
    <t>Avg Absolute TWA</t>
  </si>
  <si>
    <t>Avg Absolute TWA at takeoff</t>
  </si>
  <si>
    <t>Max Time Foiled (s)</t>
  </si>
  <si>
    <t>ESS Madeira</t>
  </si>
  <si>
    <t>ESS Barcelona</t>
  </si>
  <si>
    <t>DOWNWIND &amp; REACH</t>
  </si>
  <si>
    <t>n/a</t>
  </si>
  <si>
    <t>ALL LEGS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</si>
</sst>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3B3B3B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2" fontId="3" fillId="0" borderId="0" xfId="0" applyNumberFormat="1" applyFont="1"/>
    <xf numFmtId="10" fontId="0" fillId="0" borderId="0" xfId="1" applyNumberFormat="1" applyFont="1"/>
    <xf numFmtId="2" fontId="0" fillId="0" borderId="0" xfId="0" applyNumberFormat="1" applyFont="1"/>
    <xf numFmtId="0" fontId="0" fillId="0" borderId="0" xfId="0" applyFont="1"/>
    <xf numFmtId="0" fontId="2" fillId="2" borderId="0" xfId="0" applyFont="1" applyFill="1"/>
    <xf numFmtId="0" fontId="2" fillId="0" borderId="0" xfId="0" applyFont="1" applyFill="1"/>
    <xf numFmtId="1" fontId="0" fillId="0" borderId="0" xfId="0" applyNumberFormat="1" applyFont="1"/>
    <xf numFmtId="0" fontId="2" fillId="3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tabSelected="1" workbookViewId="0">
      <pane xSplit="1" topLeftCell="B1" activePane="topRight" state="frozen"/>
      <selection pane="topRight" activeCell="G3" sqref="G3"/>
    </sheetView>
  </sheetViews>
  <sheetFormatPr defaultColWidth="11.5546875" defaultRowHeight="16.3" x14ac:dyDescent="0.3"/>
  <cols>
    <col min="1" max="1" width="15.109375" bestFit="1" customWidth="1"/>
    <col min="2" max="2" width="18.44140625" bestFit="1" customWidth="1"/>
    <col min="3" max="3" width="16.77734375" bestFit="1" customWidth="1"/>
    <col min="4" max="4" width="13.109375" bestFit="1" customWidth="1"/>
    <col min="5" max="5" width="17" bestFit="1" customWidth="1"/>
    <col min="6" max="6" width="12.6640625" bestFit="1" customWidth="1"/>
    <col min="7" max="7" width="15.6640625" bestFit="1" customWidth="1"/>
    <col min="8" max="8" width="3.77734375" customWidth="1"/>
    <col min="9" max="9" width="19.6640625" bestFit="1" customWidth="1"/>
    <col min="10" max="10" width="16.77734375" bestFit="1" customWidth="1"/>
    <col min="11" max="11" width="13.109375" bestFit="1" customWidth="1"/>
    <col min="12" max="12" width="17" bestFit="1" customWidth="1"/>
    <col min="13" max="13" width="12.6640625" bestFit="1" customWidth="1"/>
    <col min="14" max="14" width="15.6640625" bestFit="1" customWidth="1"/>
    <col min="15" max="15" width="3.77734375" customWidth="1"/>
    <col min="16" max="16" width="14.6640625" bestFit="1" customWidth="1"/>
    <col min="17" max="17" width="31.77734375" bestFit="1" customWidth="1"/>
    <col min="18" max="18" width="17.33203125" bestFit="1" customWidth="1"/>
    <col min="19" max="19" width="3.77734375" customWidth="1"/>
    <col min="20" max="20" width="17.6640625" bestFit="1" customWidth="1"/>
    <col min="21" max="21" width="8.77734375" bestFit="1" customWidth="1"/>
    <col min="22" max="22" width="8.33203125" bestFit="1" customWidth="1"/>
    <col min="23" max="23" width="16.44140625" bestFit="1" customWidth="1"/>
    <col min="24" max="24" width="25.109375" bestFit="1" customWidth="1"/>
  </cols>
  <sheetData>
    <row r="1" spans="1:24" x14ac:dyDescent="0.3">
      <c r="A1" s="8" t="s">
        <v>24</v>
      </c>
      <c r="B1" s="5" t="s">
        <v>27</v>
      </c>
      <c r="I1" s="5" t="s">
        <v>25</v>
      </c>
      <c r="T1" s="5" t="s">
        <v>16</v>
      </c>
    </row>
    <row r="2" spans="1:24" x14ac:dyDescent="0.3">
      <c r="A2" s="5"/>
      <c r="B2" s="5" t="s">
        <v>9</v>
      </c>
      <c r="C2" s="5" t="s">
        <v>8</v>
      </c>
      <c r="D2" s="5" t="s">
        <v>12</v>
      </c>
      <c r="E2" s="5" t="s">
        <v>11</v>
      </c>
      <c r="F2" s="5" t="s">
        <v>13</v>
      </c>
      <c r="G2" s="5" t="s">
        <v>14</v>
      </c>
      <c r="I2" s="5" t="s">
        <v>9</v>
      </c>
      <c r="J2" s="5" t="s">
        <v>8</v>
      </c>
      <c r="K2" s="5" t="s">
        <v>12</v>
      </c>
      <c r="L2" s="5" t="s">
        <v>11</v>
      </c>
      <c r="M2" s="5" t="s">
        <v>13</v>
      </c>
      <c r="N2" s="5" t="s">
        <v>14</v>
      </c>
      <c r="P2" s="5" t="s">
        <v>15</v>
      </c>
      <c r="Q2" s="5" t="s">
        <v>10</v>
      </c>
      <c r="R2" s="5" t="s">
        <v>22</v>
      </c>
      <c r="S2" s="6"/>
      <c r="T2" s="5" t="s">
        <v>17</v>
      </c>
      <c r="U2" s="5" t="s">
        <v>18</v>
      </c>
      <c r="V2" s="5" t="s">
        <v>19</v>
      </c>
      <c r="W2" s="5" t="s">
        <v>20</v>
      </c>
      <c r="X2" s="5" t="s">
        <v>21</v>
      </c>
    </row>
    <row r="3" spans="1:24" x14ac:dyDescent="0.3">
      <c r="A3" s="5" t="s">
        <v>0</v>
      </c>
      <c r="B3">
        <v>1219</v>
      </c>
      <c r="C3" s="3">
        <v>11714.7255036237</v>
      </c>
      <c r="D3" s="4">
        <v>18430</v>
      </c>
      <c r="E3" s="3">
        <v>99784.4309892944</v>
      </c>
      <c r="F3" s="2">
        <f t="shared" ref="F3:G10" si="0">B3/D3</f>
        <v>6.6142159522517632E-2</v>
      </c>
      <c r="G3" s="2">
        <f t="shared" si="0"/>
        <v>0.11740033377431937</v>
      </c>
      <c r="I3" t="s">
        <v>26</v>
      </c>
      <c r="J3" s="3">
        <v>11666</v>
      </c>
      <c r="K3" t="s">
        <v>26</v>
      </c>
      <c r="L3" s="3">
        <v>54882.34</v>
      </c>
      <c r="M3" s="2" t="e">
        <f t="shared" ref="M3:N10" si="1">I3/K3</f>
        <v>#VALUE!</v>
      </c>
      <c r="N3" s="2">
        <f t="shared" si="1"/>
        <v>0.21256382289822193</v>
      </c>
      <c r="P3" s="4">
        <v>150</v>
      </c>
      <c r="Q3" s="3">
        <v>8.1300000000000008</v>
      </c>
      <c r="R3" s="7">
        <v>54</v>
      </c>
      <c r="S3" s="4"/>
      <c r="T3" s="3">
        <v>0.51</v>
      </c>
      <c r="U3" s="3">
        <v>354.89245512268002</v>
      </c>
      <c r="V3" s="3">
        <v>358.98061917388401</v>
      </c>
      <c r="W3" s="4">
        <v>136</v>
      </c>
      <c r="X3">
        <v>133</v>
      </c>
    </row>
    <row r="4" spans="1:24" x14ac:dyDescent="0.3">
      <c r="A4" s="5" t="s">
        <v>1</v>
      </c>
      <c r="B4">
        <v>929</v>
      </c>
      <c r="C4" s="3">
        <v>8248.5240750164394</v>
      </c>
      <c r="D4" s="4">
        <v>19865</v>
      </c>
      <c r="E4" s="3">
        <v>105259.812207029</v>
      </c>
      <c r="F4" s="2">
        <f t="shared" si="0"/>
        <v>4.6765668260760132E-2</v>
      </c>
      <c r="G4" s="2">
        <f t="shared" si="0"/>
        <v>7.8363469419771806E-2</v>
      </c>
      <c r="I4" t="s">
        <v>26</v>
      </c>
      <c r="J4" s="3">
        <v>8134.54</v>
      </c>
      <c r="K4" t="s">
        <v>26</v>
      </c>
      <c r="L4" s="3">
        <v>58081.21</v>
      </c>
      <c r="M4" s="2" t="e">
        <f t="shared" si="1"/>
        <v>#VALUE!</v>
      </c>
      <c r="N4" s="2">
        <f t="shared" si="1"/>
        <v>0.14005458908311311</v>
      </c>
      <c r="P4" s="4">
        <v>246</v>
      </c>
      <c r="Q4" s="3">
        <v>3.78</v>
      </c>
      <c r="R4" s="7">
        <v>46</v>
      </c>
      <c r="S4" s="4"/>
      <c r="T4" s="3">
        <v>0.34</v>
      </c>
      <c r="U4" s="3">
        <v>0.410976090482715</v>
      </c>
      <c r="V4" s="3">
        <v>357.66977591591899</v>
      </c>
      <c r="W4" s="4">
        <v>130</v>
      </c>
      <c r="X4">
        <v>122</v>
      </c>
    </row>
    <row r="5" spans="1:24" x14ac:dyDescent="0.3">
      <c r="A5" s="5" t="s">
        <v>2</v>
      </c>
      <c r="B5">
        <v>579</v>
      </c>
      <c r="C5" s="3">
        <v>5431.2243638180298</v>
      </c>
      <c r="D5" s="4">
        <v>19331</v>
      </c>
      <c r="E5" s="3">
        <v>101025.66138018901</v>
      </c>
      <c r="F5" s="2">
        <f t="shared" si="0"/>
        <v>2.9951890745434792E-2</v>
      </c>
      <c r="G5" s="2">
        <f t="shared" si="0"/>
        <v>5.3760839470070376E-2</v>
      </c>
      <c r="I5" t="s">
        <v>26</v>
      </c>
      <c r="J5" s="3">
        <v>5431.22</v>
      </c>
      <c r="K5" t="s">
        <v>26</v>
      </c>
      <c r="L5" s="3">
        <v>55424.44</v>
      </c>
      <c r="M5" s="2" t="e">
        <f t="shared" si="1"/>
        <v>#VALUE!</v>
      </c>
      <c r="N5" s="2">
        <f t="shared" si="1"/>
        <v>9.799323186666388E-2</v>
      </c>
      <c r="P5" s="4">
        <v>121</v>
      </c>
      <c r="Q5" s="3">
        <v>4.79</v>
      </c>
      <c r="R5" s="7">
        <v>49</v>
      </c>
      <c r="S5" s="4"/>
      <c r="T5" s="3">
        <v>0.42</v>
      </c>
      <c r="U5" s="3">
        <v>357.01648850225399</v>
      </c>
      <c r="V5" s="3">
        <v>8.1644599511425803E-2</v>
      </c>
      <c r="W5" s="4">
        <v>139</v>
      </c>
      <c r="X5">
        <v>139</v>
      </c>
    </row>
    <row r="6" spans="1:24" x14ac:dyDescent="0.3">
      <c r="A6" s="5" t="s">
        <v>3</v>
      </c>
      <c r="B6">
        <v>836</v>
      </c>
      <c r="C6" s="3">
        <v>7932.3514894206701</v>
      </c>
      <c r="D6" s="4">
        <v>19309</v>
      </c>
      <c r="E6" s="3">
        <v>101081.235935285</v>
      </c>
      <c r="F6" s="2">
        <f t="shared" si="0"/>
        <v>4.3295872391112954E-2</v>
      </c>
      <c r="G6" s="2">
        <f t="shared" si="0"/>
        <v>7.8475014833605528E-2</v>
      </c>
      <c r="I6" t="s">
        <v>26</v>
      </c>
      <c r="J6" s="3">
        <v>7876.15</v>
      </c>
      <c r="K6" t="s">
        <v>26</v>
      </c>
      <c r="L6" s="3">
        <v>55675.27</v>
      </c>
      <c r="M6" s="2" t="e">
        <f t="shared" si="1"/>
        <v>#VALUE!</v>
      </c>
      <c r="N6" s="2">
        <f t="shared" si="1"/>
        <v>0.14146586087503482</v>
      </c>
      <c r="P6" s="4">
        <v>114</v>
      </c>
      <c r="Q6" s="3">
        <v>7.33</v>
      </c>
      <c r="R6" s="7">
        <v>64</v>
      </c>
      <c r="S6" s="4"/>
      <c r="T6" s="3">
        <v>0.48</v>
      </c>
      <c r="U6" s="3">
        <v>355.00117130547801</v>
      </c>
      <c r="V6" s="3">
        <v>0.62718453160329601</v>
      </c>
      <c r="W6" s="4">
        <v>141</v>
      </c>
      <c r="X6">
        <v>136</v>
      </c>
    </row>
    <row r="7" spans="1:24" x14ac:dyDescent="0.3">
      <c r="A7" s="5" t="s">
        <v>4</v>
      </c>
      <c r="B7">
        <v>777</v>
      </c>
      <c r="C7" s="3">
        <v>7474.4525328432901</v>
      </c>
      <c r="D7" s="4">
        <v>18457</v>
      </c>
      <c r="E7" s="3">
        <v>99766.806121784597</v>
      </c>
      <c r="F7" s="2">
        <f t="shared" si="0"/>
        <v>4.2097849054559246E-2</v>
      </c>
      <c r="G7" s="2">
        <f t="shared" si="0"/>
        <v>7.4919232391976967E-2</v>
      </c>
      <c r="I7" t="s">
        <v>26</v>
      </c>
      <c r="J7" s="3">
        <v>7452.05</v>
      </c>
      <c r="K7" t="s">
        <v>26</v>
      </c>
      <c r="L7" s="3">
        <v>54701.599999999999</v>
      </c>
      <c r="M7" s="2" t="e">
        <f t="shared" si="1"/>
        <v>#VALUE!</v>
      </c>
      <c r="N7" s="2">
        <f t="shared" si="1"/>
        <v>0.13623093291603902</v>
      </c>
      <c r="P7" s="4">
        <v>150</v>
      </c>
      <c r="Q7" s="3">
        <v>5.18</v>
      </c>
      <c r="R7" s="7">
        <v>29</v>
      </c>
      <c r="S7" s="4"/>
      <c r="T7" s="3">
        <v>0.42</v>
      </c>
      <c r="U7" s="3">
        <v>356.83630592769998</v>
      </c>
      <c r="V7" s="3">
        <v>359.50416074909299</v>
      </c>
      <c r="W7" s="4">
        <v>138</v>
      </c>
      <c r="X7">
        <v>137</v>
      </c>
    </row>
    <row r="8" spans="1:24" x14ac:dyDescent="0.3">
      <c r="A8" s="5" t="s">
        <v>5</v>
      </c>
      <c r="B8">
        <v>848</v>
      </c>
      <c r="C8" s="3">
        <v>8141.7340061752602</v>
      </c>
      <c r="D8" s="4">
        <v>18560</v>
      </c>
      <c r="E8" s="3">
        <v>98722.346396438894</v>
      </c>
      <c r="F8" s="2">
        <f t="shared" si="0"/>
        <v>4.5689655172413794E-2</v>
      </c>
      <c r="G8" s="2">
        <f t="shared" si="0"/>
        <v>8.2471034202130228E-2</v>
      </c>
      <c r="I8" t="s">
        <v>26</v>
      </c>
      <c r="J8" s="3">
        <v>8078.14</v>
      </c>
      <c r="K8" t="s">
        <v>26</v>
      </c>
      <c r="L8" s="3">
        <v>53731.62</v>
      </c>
      <c r="M8" s="2" t="e">
        <f t="shared" si="1"/>
        <v>#VALUE!</v>
      </c>
      <c r="N8" s="2">
        <f t="shared" si="1"/>
        <v>0.15034238684781884</v>
      </c>
      <c r="P8" s="4">
        <v>139</v>
      </c>
      <c r="Q8" s="3">
        <v>6.1</v>
      </c>
      <c r="R8" s="7">
        <v>39</v>
      </c>
      <c r="S8" s="4"/>
      <c r="T8" s="3">
        <v>0.45</v>
      </c>
      <c r="U8" s="3">
        <v>358.23276639347898</v>
      </c>
      <c r="V8" s="3">
        <v>0.51425543365008797</v>
      </c>
      <c r="W8" s="4">
        <v>137</v>
      </c>
      <c r="X8">
        <v>134</v>
      </c>
    </row>
    <row r="9" spans="1:24" x14ac:dyDescent="0.3">
      <c r="A9" s="5" t="s">
        <v>6</v>
      </c>
      <c r="B9">
        <v>1175</v>
      </c>
      <c r="C9" s="3">
        <v>11556.915084642</v>
      </c>
      <c r="D9" s="4">
        <v>18565</v>
      </c>
      <c r="E9" s="3">
        <v>100486.73971725701</v>
      </c>
      <c r="F9" s="2">
        <f t="shared" si="0"/>
        <v>6.3291139240506333E-2</v>
      </c>
      <c r="G9" s="2">
        <f t="shared" si="0"/>
        <v>0.11500935463883184</v>
      </c>
      <c r="I9" t="s">
        <v>26</v>
      </c>
      <c r="J9" s="3">
        <v>11458.32</v>
      </c>
      <c r="K9" t="s">
        <v>26</v>
      </c>
      <c r="L9" s="3">
        <v>55278.28</v>
      </c>
      <c r="M9" s="2" t="e">
        <f t="shared" si="1"/>
        <v>#VALUE!</v>
      </c>
      <c r="N9" s="2">
        <f t="shared" si="1"/>
        <v>0.2072843076883</v>
      </c>
      <c r="P9" s="4">
        <v>183</v>
      </c>
      <c r="Q9" s="3">
        <v>6.42</v>
      </c>
      <c r="R9" s="7">
        <v>51</v>
      </c>
      <c r="S9" s="4"/>
      <c r="T9" s="3">
        <v>0.42</v>
      </c>
      <c r="U9" s="3">
        <v>354.80838310490901</v>
      </c>
      <c r="V9" s="3">
        <v>0.18363361986149501</v>
      </c>
      <c r="W9" s="4">
        <v>136</v>
      </c>
      <c r="X9">
        <v>129</v>
      </c>
    </row>
    <row r="10" spans="1:24" x14ac:dyDescent="0.3">
      <c r="A10" s="5" t="s">
        <v>7</v>
      </c>
      <c r="B10">
        <v>513</v>
      </c>
      <c r="C10" s="3">
        <v>4625.4789618705299</v>
      </c>
      <c r="D10" s="4">
        <v>20557</v>
      </c>
      <c r="E10" s="3">
        <v>103046.163361705</v>
      </c>
      <c r="F10" s="2">
        <f t="shared" si="0"/>
        <v>2.4955003161939972E-2</v>
      </c>
      <c r="G10" s="2">
        <f t="shared" si="0"/>
        <v>4.4887444723531497E-2</v>
      </c>
      <c r="I10" t="s">
        <v>26</v>
      </c>
      <c r="J10" s="3">
        <v>4620.57</v>
      </c>
      <c r="K10" t="s">
        <v>26</v>
      </c>
      <c r="L10" s="3">
        <v>55331.99</v>
      </c>
      <c r="M10" s="2" t="e">
        <f t="shared" si="1"/>
        <v>#VALUE!</v>
      </c>
      <c r="N10" s="2">
        <f t="shared" si="1"/>
        <v>8.350630440004056E-2</v>
      </c>
      <c r="P10" s="4">
        <v>109</v>
      </c>
      <c r="Q10" s="3">
        <v>4.71</v>
      </c>
      <c r="R10" s="7">
        <v>40</v>
      </c>
      <c r="S10" s="4"/>
      <c r="T10" s="3">
        <v>0.41</v>
      </c>
      <c r="U10" s="3">
        <v>357.30485923670699</v>
      </c>
      <c r="V10" s="3">
        <v>0.57315123284723002</v>
      </c>
      <c r="W10" s="4">
        <v>137</v>
      </c>
      <c r="X10">
        <v>134</v>
      </c>
    </row>
    <row r="11" spans="1:24" x14ac:dyDescent="0.3">
      <c r="A11" s="6"/>
    </row>
    <row r="13" spans="1:24" x14ac:dyDescent="0.3">
      <c r="A13" s="8" t="s">
        <v>23</v>
      </c>
      <c r="B13" s="5" t="s">
        <v>27</v>
      </c>
      <c r="I13" s="5" t="s">
        <v>25</v>
      </c>
      <c r="T13" s="5" t="s">
        <v>16</v>
      </c>
    </row>
    <row r="14" spans="1:24" x14ac:dyDescent="0.3">
      <c r="A14" s="5"/>
      <c r="B14" s="5" t="s">
        <v>9</v>
      </c>
      <c r="C14" s="5" t="s">
        <v>8</v>
      </c>
      <c r="D14" s="5" t="s">
        <v>12</v>
      </c>
      <c r="E14" s="5" t="s">
        <v>11</v>
      </c>
      <c r="F14" s="5" t="s">
        <v>13</v>
      </c>
      <c r="G14" s="5" t="s">
        <v>14</v>
      </c>
      <c r="I14" s="5" t="s">
        <v>9</v>
      </c>
      <c r="J14" s="5" t="s">
        <v>8</v>
      </c>
      <c r="K14" s="5" t="s">
        <v>12</v>
      </c>
      <c r="L14" s="5" t="s">
        <v>11</v>
      </c>
      <c r="M14" s="5" t="s">
        <v>13</v>
      </c>
      <c r="N14" s="5" t="s">
        <v>14</v>
      </c>
      <c r="P14" s="5" t="s">
        <v>15</v>
      </c>
      <c r="Q14" s="5" t="s">
        <v>10</v>
      </c>
      <c r="R14" s="5" t="s">
        <v>22</v>
      </c>
      <c r="S14" s="6"/>
      <c r="T14" s="5" t="s">
        <v>17</v>
      </c>
      <c r="U14" s="5" t="s">
        <v>18</v>
      </c>
      <c r="V14" s="5" t="s">
        <v>19</v>
      </c>
      <c r="W14" s="5" t="s">
        <v>20</v>
      </c>
      <c r="X14" s="5" t="s">
        <v>21</v>
      </c>
    </row>
    <row r="15" spans="1:24" x14ac:dyDescent="0.3">
      <c r="A15" s="5" t="s">
        <v>0</v>
      </c>
      <c r="B15">
        <v>556</v>
      </c>
      <c r="C15" s="3">
        <v>5139.4950537686</v>
      </c>
      <c r="D15" s="4">
        <v>16394</v>
      </c>
      <c r="E15" s="1">
        <v>80034.199324170899</v>
      </c>
      <c r="F15" s="2">
        <f t="shared" ref="F15:G21" si="2">B15/D15</f>
        <v>3.3914846895205561E-2</v>
      </c>
      <c r="G15" s="2">
        <f t="shared" si="2"/>
        <v>6.4216236273590549E-2</v>
      </c>
      <c r="I15" t="s">
        <v>26</v>
      </c>
      <c r="J15" s="3">
        <v>5003.1000000000004</v>
      </c>
      <c r="K15" t="s">
        <v>26</v>
      </c>
      <c r="L15" s="3">
        <v>45572.639999999999</v>
      </c>
      <c r="M15" s="2" t="e">
        <f t="shared" ref="M15:N21" si="3">I15/K15</f>
        <v>#VALUE!</v>
      </c>
      <c r="N15" s="2">
        <f t="shared" si="3"/>
        <v>0.10978297504818682</v>
      </c>
      <c r="P15" s="4">
        <v>79</v>
      </c>
      <c r="Q15" s="3">
        <v>7.04</v>
      </c>
      <c r="R15" s="7">
        <v>33</v>
      </c>
      <c r="S15" s="4"/>
      <c r="T15" s="3">
        <v>0.48</v>
      </c>
      <c r="U15" s="3">
        <v>355.04</v>
      </c>
      <c r="V15" s="3">
        <v>0.02</v>
      </c>
      <c r="W15" s="4">
        <v>134</v>
      </c>
      <c r="X15">
        <v>128</v>
      </c>
    </row>
    <row r="16" spans="1:24" x14ac:dyDescent="0.3">
      <c r="A16" s="5" t="s">
        <v>2</v>
      </c>
      <c r="B16">
        <v>182</v>
      </c>
      <c r="C16" s="3">
        <v>1603.08350352861</v>
      </c>
      <c r="D16" s="4">
        <v>18091</v>
      </c>
      <c r="E16" s="1">
        <v>83449.278544837798</v>
      </c>
      <c r="F16" s="2">
        <f t="shared" si="2"/>
        <v>1.0060250953512796E-2</v>
      </c>
      <c r="G16" s="2">
        <f t="shared" si="2"/>
        <v>1.9210273970999805E-2</v>
      </c>
      <c r="I16" t="s">
        <v>26</v>
      </c>
      <c r="J16" s="3">
        <v>1569.28</v>
      </c>
      <c r="K16" t="s">
        <v>26</v>
      </c>
      <c r="L16" s="3">
        <v>46201.46</v>
      </c>
      <c r="M16" s="2" t="e">
        <f t="shared" si="3"/>
        <v>#VALUE!</v>
      </c>
      <c r="N16" s="2">
        <f t="shared" si="3"/>
        <v>3.3966026181856589E-2</v>
      </c>
      <c r="P16" s="4">
        <v>75</v>
      </c>
      <c r="Q16" s="3">
        <v>2.4300000000000002</v>
      </c>
      <c r="R16" s="7">
        <v>13</v>
      </c>
      <c r="S16" s="4"/>
      <c r="T16" s="3">
        <v>0.35</v>
      </c>
      <c r="U16" s="3">
        <v>356.91</v>
      </c>
      <c r="V16" s="3">
        <v>2.14</v>
      </c>
      <c r="W16" s="4">
        <v>129</v>
      </c>
      <c r="X16">
        <v>129</v>
      </c>
    </row>
    <row r="17" spans="1:24" x14ac:dyDescent="0.3">
      <c r="A17" s="5" t="s">
        <v>3</v>
      </c>
      <c r="B17">
        <v>430</v>
      </c>
      <c r="C17" s="3">
        <v>3934.3857193281401</v>
      </c>
      <c r="D17" s="4">
        <v>17552</v>
      </c>
      <c r="E17" s="1">
        <v>81125.958376971204</v>
      </c>
      <c r="F17" s="2">
        <f t="shared" si="2"/>
        <v>2.4498632634457611E-2</v>
      </c>
      <c r="G17" s="2">
        <f t="shared" si="2"/>
        <v>4.8497247959106676E-2</v>
      </c>
      <c r="I17" t="s">
        <v>26</v>
      </c>
      <c r="J17" s="3">
        <v>3904.33</v>
      </c>
      <c r="K17" t="s">
        <v>26</v>
      </c>
      <c r="L17" s="3">
        <v>45300.59</v>
      </c>
      <c r="M17" s="2" t="e">
        <f t="shared" si="3"/>
        <v>#VALUE!</v>
      </c>
      <c r="N17" s="2">
        <f t="shared" si="3"/>
        <v>8.6187177694595149E-2</v>
      </c>
      <c r="P17" s="4">
        <v>74</v>
      </c>
      <c r="Q17" s="3">
        <v>5.81</v>
      </c>
      <c r="R17" s="7">
        <v>33</v>
      </c>
      <c r="S17" s="4"/>
      <c r="T17" s="3">
        <v>0.49</v>
      </c>
      <c r="U17" s="3">
        <v>356.66</v>
      </c>
      <c r="V17" s="3">
        <v>1.28</v>
      </c>
      <c r="W17" s="4">
        <v>130</v>
      </c>
      <c r="X17">
        <v>133</v>
      </c>
    </row>
    <row r="18" spans="1:24" x14ac:dyDescent="0.3">
      <c r="A18" s="5" t="s">
        <v>4</v>
      </c>
      <c r="B18">
        <v>534</v>
      </c>
      <c r="C18" s="3">
        <v>4910.3978456337099</v>
      </c>
      <c r="D18" s="4">
        <v>16717</v>
      </c>
      <c r="E18" s="1">
        <v>81363.375421907796</v>
      </c>
      <c r="F18" s="2">
        <f t="shared" si="2"/>
        <v>3.1943530537775919E-2</v>
      </c>
      <c r="G18" s="2">
        <f t="shared" si="2"/>
        <v>6.0351451991402294E-2</v>
      </c>
      <c r="I18" t="s">
        <v>26</v>
      </c>
      <c r="J18" s="3">
        <v>4859.33</v>
      </c>
      <c r="K18" t="s">
        <v>26</v>
      </c>
      <c r="L18" s="3">
        <v>44942.82</v>
      </c>
      <c r="M18" s="2" t="e">
        <f t="shared" si="3"/>
        <v>#VALUE!</v>
      </c>
      <c r="N18" s="2">
        <f t="shared" si="3"/>
        <v>0.10812249876621004</v>
      </c>
      <c r="P18" s="4">
        <v>102</v>
      </c>
      <c r="Q18" s="3">
        <v>5.24</v>
      </c>
      <c r="R18" s="7">
        <v>33</v>
      </c>
      <c r="S18" s="4"/>
      <c r="T18" s="3">
        <v>0.46</v>
      </c>
      <c r="U18" s="3">
        <v>357.98</v>
      </c>
      <c r="V18" s="3">
        <v>0.76</v>
      </c>
      <c r="W18" s="4">
        <v>136</v>
      </c>
      <c r="X18">
        <v>133</v>
      </c>
    </row>
    <row r="19" spans="1:24" x14ac:dyDescent="0.3">
      <c r="A19" s="5" t="s">
        <v>5</v>
      </c>
      <c r="B19">
        <v>312</v>
      </c>
      <c r="C19" s="3">
        <v>2844.0166902709502</v>
      </c>
      <c r="D19" s="4">
        <v>16573</v>
      </c>
      <c r="E19" s="1">
        <v>77544.7056774823</v>
      </c>
      <c r="F19" s="2">
        <f t="shared" si="2"/>
        <v>1.8825801001629155E-2</v>
      </c>
      <c r="G19" s="2">
        <f t="shared" si="2"/>
        <v>3.6675833190979612E-2</v>
      </c>
      <c r="I19" t="s">
        <v>26</v>
      </c>
      <c r="J19" s="3">
        <v>2763.13</v>
      </c>
      <c r="K19" t="s">
        <v>26</v>
      </c>
      <c r="L19" s="3">
        <v>41921.9</v>
      </c>
      <c r="M19" s="2" t="e">
        <f t="shared" si="3"/>
        <v>#VALUE!</v>
      </c>
      <c r="N19" s="2">
        <f t="shared" si="3"/>
        <v>6.5911373291763969E-2</v>
      </c>
      <c r="P19" s="4">
        <v>69</v>
      </c>
      <c r="Q19" s="3">
        <v>4.5199999999999996</v>
      </c>
      <c r="R19" s="7">
        <v>21</v>
      </c>
      <c r="S19" s="4"/>
      <c r="T19" s="3">
        <v>0.44</v>
      </c>
      <c r="U19" s="3">
        <v>358.72</v>
      </c>
      <c r="V19" s="3">
        <v>1.17</v>
      </c>
      <c r="W19" s="4">
        <v>129</v>
      </c>
      <c r="X19">
        <v>127</v>
      </c>
    </row>
    <row r="20" spans="1:24" x14ac:dyDescent="0.3">
      <c r="A20" s="5" t="s">
        <v>6</v>
      </c>
      <c r="B20">
        <v>468</v>
      </c>
      <c r="C20" s="3">
        <v>4620.5181822559998</v>
      </c>
      <c r="D20" s="4">
        <v>16634</v>
      </c>
      <c r="E20" s="1">
        <v>80604.594729566001</v>
      </c>
      <c r="F20" s="2">
        <f t="shared" si="2"/>
        <v>2.8135144883972587E-2</v>
      </c>
      <c r="G20" s="2">
        <f t="shared" si="2"/>
        <v>5.7323260513351112E-2</v>
      </c>
      <c r="I20" t="s">
        <v>26</v>
      </c>
      <c r="J20" s="3">
        <v>4572.49</v>
      </c>
      <c r="K20" t="s">
        <v>26</v>
      </c>
      <c r="L20" s="3">
        <v>45435.35</v>
      </c>
      <c r="M20" s="2" t="e">
        <f t="shared" si="3"/>
        <v>#VALUE!</v>
      </c>
      <c r="N20" s="2">
        <f t="shared" si="3"/>
        <v>0.10063727912297363</v>
      </c>
      <c r="P20" s="4">
        <v>94</v>
      </c>
      <c r="Q20" s="3">
        <v>4.9800000000000004</v>
      </c>
      <c r="R20" s="7">
        <v>50</v>
      </c>
      <c r="S20" s="4"/>
      <c r="T20" s="3">
        <v>0.41</v>
      </c>
      <c r="U20" s="3">
        <v>354.76</v>
      </c>
      <c r="V20" s="3">
        <v>1.76</v>
      </c>
      <c r="W20" s="4">
        <v>136</v>
      </c>
      <c r="X20">
        <v>131</v>
      </c>
    </row>
    <row r="21" spans="1:24" x14ac:dyDescent="0.3">
      <c r="A21" s="5" t="s">
        <v>7</v>
      </c>
      <c r="B21">
        <v>152</v>
      </c>
      <c r="C21" s="3">
        <v>1371.2650069679901</v>
      </c>
      <c r="D21" s="4">
        <v>18841</v>
      </c>
      <c r="E21" s="1">
        <v>85191.695294804595</v>
      </c>
      <c r="F21" s="2">
        <f t="shared" si="2"/>
        <v>8.0675123401093354E-3</v>
      </c>
      <c r="G21" s="2">
        <f t="shared" si="2"/>
        <v>1.6096228654949852E-2</v>
      </c>
      <c r="I21" t="s">
        <v>26</v>
      </c>
      <c r="J21" s="3">
        <v>1356.98</v>
      </c>
      <c r="K21" t="s">
        <v>26</v>
      </c>
      <c r="L21" s="3">
        <v>46478.14</v>
      </c>
      <c r="M21" s="2" t="e">
        <f t="shared" si="3"/>
        <v>#VALUE!</v>
      </c>
      <c r="N21" s="2">
        <f t="shared" si="3"/>
        <v>2.91960908934824E-2</v>
      </c>
      <c r="P21" s="4">
        <v>41</v>
      </c>
      <c r="Q21" s="3">
        <v>3.71</v>
      </c>
      <c r="R21" s="7">
        <v>18</v>
      </c>
      <c r="S21" s="4"/>
      <c r="T21" s="3">
        <v>0.38</v>
      </c>
      <c r="U21" s="3">
        <v>357.08</v>
      </c>
      <c r="V21" s="3">
        <v>1.73</v>
      </c>
      <c r="W21" s="4">
        <v>119</v>
      </c>
      <c r="X21">
        <v>122</v>
      </c>
    </row>
    <row r="22" spans="1:24" x14ac:dyDescent="0.3">
      <c r="S22" s="3"/>
      <c r="U22" s="3"/>
      <c r="V22" s="2"/>
      <c r="W22" s="2"/>
    </row>
  </sheetData>
  <conditionalFormatting sqref="B3:B10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{3B07E3C6-63BE-9A45-868C-A619C920B5AE}</x14:id>
        </ext>
      </extLst>
    </cfRule>
  </conditionalFormatting>
  <conditionalFormatting sqref="C3:C10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{243DBBFE-E98A-354A-800A-A8D1B20ACBED}</x14:id>
        </ext>
      </extLst>
    </cfRule>
  </conditionalFormatting>
  <conditionalFormatting sqref="F3:F10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{D077726C-0963-DF40-898D-7AFF547B513C}</x14:id>
        </ext>
      </extLst>
    </cfRule>
  </conditionalFormatting>
  <conditionalFormatting sqref="G3:G10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{D9745C15-3DE2-1448-8543-ACDA0A8E05FD}</x14:id>
        </ext>
      </extLst>
    </cfRule>
  </conditionalFormatting>
  <conditionalFormatting sqref="P3:P1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{F839891C-055A-684D-ADFC-A9553EA4E5E4}</x14:id>
        </ext>
      </extLst>
    </cfRule>
  </conditionalFormatting>
  <conditionalFormatting sqref="Q3:Q1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{8EA36706-AF63-DE47-92A9-2F1610D98846}</x14:id>
        </ext>
      </extLst>
    </cfRule>
  </conditionalFormatting>
  <conditionalFormatting sqref="R3:R1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{EDF4AAA9-F031-B64B-966A-20BF0C75A60D}</x14:id>
        </ext>
      </extLst>
    </cfRule>
  </conditionalFormatting>
  <conditionalFormatting sqref="T3:T10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{8F611153-AEC2-9E45-8DEB-1B9D048010AC}</x14:id>
        </ext>
      </extLst>
    </cfRule>
  </conditionalFormatting>
  <conditionalFormatting sqref="B15:B21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{379D1E4E-169D-0044-A2D9-223628D975A0}</x14:id>
        </ext>
      </extLst>
    </cfRule>
  </conditionalFormatting>
  <conditionalFormatting sqref="F15:F21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{CE917AE3-95B3-8B41-85F2-9B9098800E3D}</x14:id>
        </ext>
      </extLst>
    </cfRule>
  </conditionalFormatting>
  <conditionalFormatting sqref="G15:G21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{6E2549E3-60C5-134F-BC0D-B702E93E1686}</x14:id>
        </ext>
      </extLst>
    </cfRule>
  </conditionalFormatting>
  <conditionalFormatting sqref="P15:P21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{461BDF25-6BF0-EE4B-8860-995CA065858F}</x14:id>
        </ext>
      </extLst>
    </cfRule>
  </conditionalFormatting>
  <conditionalFormatting sqref="Q15:Q21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{338DBDEB-92C7-434A-9C60-B19708D11C11}</x14:id>
        </ext>
      </extLst>
    </cfRule>
  </conditionalFormatting>
  <conditionalFormatting sqref="R15:R21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{699A7B32-914C-2E48-B622-09B0CE7FEAFD}</x14:id>
        </ext>
      </extLst>
    </cfRule>
  </conditionalFormatting>
  <conditionalFormatting sqref="T15:T21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{9707AB6B-B627-C746-8736-80E748979D96}</x14:id>
        </ext>
      </extLst>
    </cfRule>
  </conditionalFormatting>
  <conditionalFormatting sqref="C15:C2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{B24372B0-28C2-2747-8A6B-CA6C7D7F4EB6}</x14:id>
        </ext>
      </extLst>
    </cfRule>
  </conditionalFormatting>
  <conditionalFormatting sqref="I3:I10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{23831ADA-5BD7-1A45-8F5E-C17FF227E04D}</x14:id>
        </ext>
      </extLst>
    </cfRule>
  </conditionalFormatting>
  <conditionalFormatting sqref="J3:J10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{3E933E17-D253-A54D-95E4-59E3765E5A2B}</x14:id>
        </ext>
      </extLst>
    </cfRule>
  </conditionalFormatting>
  <conditionalFormatting sqref="M3:M10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{258A6861-607A-144E-84C6-681E7A649CBD}</x14:id>
        </ext>
      </extLst>
    </cfRule>
  </conditionalFormatting>
  <conditionalFormatting sqref="N3:N10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{1EF400D2-1913-6E45-8A98-9F6DFA624B64}</x14:id>
        </ext>
      </extLst>
    </cfRule>
  </conditionalFormatting>
  <conditionalFormatting sqref="K3:K10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{0EDB25C4-0A9C-574F-8160-2835E7D11B9A}</x14:id>
        </ext>
      </extLst>
    </cfRule>
  </conditionalFormatting>
  <conditionalFormatting sqref="I15:I21 R2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{98F57DAB-AC90-AF49-986C-64EABE1C9D2E}</x14:id>
        </ext>
      </extLst>
    </cfRule>
  </conditionalFormatting>
  <conditionalFormatting sqref="J15:J21 S2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{CA10A3BF-A77C-3944-BDBA-9966B466638E}</x14:id>
        </ext>
      </extLst>
    </cfRule>
  </conditionalFormatting>
  <conditionalFormatting sqref="M15:M21 V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{4F0C5B83-C0B4-F14B-B6F0-181DF17C9CDA}</x14:id>
        </ext>
      </extLst>
    </cfRule>
  </conditionalFormatting>
  <conditionalFormatting sqref="N15:N21 W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{A2B8DA6D-C947-AE44-97FC-24CC93509467}</x14:id>
        </ext>
      </extLst>
    </cfRule>
  </conditionalFormatting>
  <conditionalFormatting sqref="K15:K21 T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{DB1661E5-9145-BD4F-9411-479FEEF865EA}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07E3C6-63BE-9A45-868C-A619C920B5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B3:B10</xm:sqref>
        </x14:conditionalFormatting>
        <x14:conditionalFormatting xmlns:xm="http://schemas.microsoft.com/office/excel/2006/main">
          <x14:cfRule type="dataBar" id="{243DBBFE-E98A-354A-800A-A8D1B20ACB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C3:C10</xm:sqref>
        </x14:conditionalFormatting>
        <x14:conditionalFormatting xmlns:xm="http://schemas.microsoft.com/office/excel/2006/main">
          <x14:cfRule type="dataBar" id="{D077726C-0963-DF40-898D-7AFF547B51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F3:F10</xm:sqref>
        </x14:conditionalFormatting>
        <x14:conditionalFormatting xmlns:xm="http://schemas.microsoft.com/office/excel/2006/main">
          <x14:cfRule type="dataBar" id="{D9745C15-3DE2-1448-8543-ACDA0A8E05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G3:G10</xm:sqref>
        </x14:conditionalFormatting>
        <x14:conditionalFormatting xmlns:xm="http://schemas.microsoft.com/office/excel/2006/main">
          <x14:cfRule type="dataBar" id="{F839891C-055A-684D-ADFC-A9553EA4E5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P3:P10</xm:sqref>
        </x14:conditionalFormatting>
        <x14:conditionalFormatting xmlns:xm="http://schemas.microsoft.com/office/excel/2006/main">
          <x14:cfRule type="dataBar" id="{8EA36706-AF63-DE47-92A9-2F1610D988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Q3:Q10</xm:sqref>
        </x14:conditionalFormatting>
        <x14:conditionalFormatting xmlns:xm="http://schemas.microsoft.com/office/excel/2006/main">
          <x14:cfRule type="dataBar" id="{EDF4AAA9-F031-B64B-966A-20BF0C75A6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R3:R10</xm:sqref>
        </x14:conditionalFormatting>
        <x14:conditionalFormatting xmlns:xm="http://schemas.microsoft.com/office/excel/2006/main">
          <x14:cfRule type="dataBar" id="{8F611153-AEC2-9E45-8DEB-1B9D048010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T3:T10</xm:sqref>
        </x14:conditionalFormatting>
        <x14:conditionalFormatting xmlns:xm="http://schemas.microsoft.com/office/excel/2006/main">
          <x14:cfRule type="dataBar" id="{379D1E4E-169D-0044-A2D9-223628D975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B15:B21</xm:sqref>
        </x14:conditionalFormatting>
        <x14:conditionalFormatting xmlns:xm="http://schemas.microsoft.com/office/excel/2006/main">
          <x14:cfRule type="dataBar" id="{CE917AE3-95B3-8B41-85F2-9B9098800E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F15:F21</xm:sqref>
        </x14:conditionalFormatting>
        <x14:conditionalFormatting xmlns:xm="http://schemas.microsoft.com/office/excel/2006/main">
          <x14:cfRule type="dataBar" id="{6E2549E3-60C5-134F-BC0D-B702E93E16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G15:G21</xm:sqref>
        </x14:conditionalFormatting>
        <x14:conditionalFormatting xmlns:xm="http://schemas.microsoft.com/office/excel/2006/main">
          <x14:cfRule type="dataBar" id="{461BDF25-6BF0-EE4B-8860-995CA06585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P15:P21</xm:sqref>
        </x14:conditionalFormatting>
        <x14:conditionalFormatting xmlns:xm="http://schemas.microsoft.com/office/excel/2006/main">
          <x14:cfRule type="dataBar" id="{338DBDEB-92C7-434A-9C60-B19708D11C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Q15:Q21</xm:sqref>
        </x14:conditionalFormatting>
        <x14:conditionalFormatting xmlns:xm="http://schemas.microsoft.com/office/excel/2006/main">
          <x14:cfRule type="dataBar" id="{699A7B32-914C-2E48-B622-09B0CE7FEA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R15:R21</xm:sqref>
        </x14:conditionalFormatting>
        <x14:conditionalFormatting xmlns:xm="http://schemas.microsoft.com/office/excel/2006/main">
          <x14:cfRule type="dataBar" id="{9707AB6B-B627-C746-8736-80E748979D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T15:T21</xm:sqref>
        </x14:conditionalFormatting>
        <x14:conditionalFormatting xmlns:xm="http://schemas.microsoft.com/office/excel/2006/main">
          <x14:cfRule type="dataBar" id="{B24372B0-28C2-2747-8A6B-CA6C7D7F4E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C15:C21</xm:sqref>
        </x14:conditionalFormatting>
        <x14:conditionalFormatting xmlns:xm="http://schemas.microsoft.com/office/excel/2006/main">
          <x14:cfRule type="dataBar" id="{23831ADA-5BD7-1A45-8F5E-C17FF227E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I3:I10</xm:sqref>
        </x14:conditionalFormatting>
        <x14:conditionalFormatting xmlns:xm="http://schemas.microsoft.com/office/excel/2006/main">
          <x14:cfRule type="dataBar" id="{3E933E17-D253-A54D-95E4-59E3765E5A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J3:J10</xm:sqref>
        </x14:conditionalFormatting>
        <x14:conditionalFormatting xmlns:xm="http://schemas.microsoft.com/office/excel/2006/main">
          <x14:cfRule type="dataBar" id="{258A6861-607A-144E-84C6-681E7A649C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M3:M10</xm:sqref>
        </x14:conditionalFormatting>
        <x14:conditionalFormatting xmlns:xm="http://schemas.microsoft.com/office/excel/2006/main">
          <x14:cfRule type="dataBar" id="{1EF400D2-1913-6E45-8A98-9F6DFA624B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N3:N10</xm:sqref>
        </x14:conditionalFormatting>
        <x14:conditionalFormatting xmlns:xm="http://schemas.microsoft.com/office/excel/2006/main">
          <x14:cfRule type="dataBar" id="{0EDB25C4-0A9C-574F-8160-2835E7D11B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K3:K10</xm:sqref>
        </x14:conditionalFormatting>
        <x14:conditionalFormatting xmlns:xm="http://schemas.microsoft.com/office/excel/2006/main">
          <x14:cfRule type="dataBar" id="{98F57DAB-AC90-AF49-986C-64EABE1C9D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I15:I21 R22</xm:sqref>
        </x14:conditionalFormatting>
        <x14:conditionalFormatting xmlns:xm="http://schemas.microsoft.com/office/excel/2006/main">
          <x14:cfRule type="dataBar" id="{CA10A3BF-A77C-3944-BDBA-9966B46663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J15:J21 S22</xm:sqref>
        </x14:conditionalFormatting>
        <x14:conditionalFormatting xmlns:xm="http://schemas.microsoft.com/office/excel/2006/main">
          <x14:cfRule type="dataBar" id="{4F0C5B83-C0B4-F14B-B6F0-181DF17C9C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M15:M21 V22</xm:sqref>
        </x14:conditionalFormatting>
        <x14:conditionalFormatting xmlns:xm="http://schemas.microsoft.com/office/excel/2006/main">
          <x14:cfRule type="dataBar" id="{A2B8DA6D-C947-AE44-97FC-24CC935094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N15:N21 W22</xm:sqref>
        </x14:conditionalFormatting>
        <x14:conditionalFormatting xmlns:xm="http://schemas.microsoft.com/office/excel/2006/main">
          <x14:cfRule type="dataBar" id="{DB1661E5-9145-BD4F-9411-479FEEF865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K15:K21 T22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ESS Barcelona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Cerny</dc:creator>
  <cp:lastModifiedBy>Uhl, Axel</cp:lastModifiedBy>
  <dcterms:created xsi:type="dcterms:W3CDTF">2017-08-23T18:29:25Z</dcterms:created>
  <dcterms:modified xsi:type="dcterms:W3CDTF">2017-08-24T11:39:38Z</dcterms:modified>
</cp:coreProperties>
</file>