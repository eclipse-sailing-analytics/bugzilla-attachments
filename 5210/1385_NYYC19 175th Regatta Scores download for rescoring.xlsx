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rry/Dropbox/MultiRule/Regattas 2019/19 07-14 NYYC 175th Regatta/Scoring/"/>
    </mc:Choice>
  </mc:AlternateContent>
  <xr:revisionPtr revIDLastSave="0" documentId="13_ncr:1_{6027FE6D-A95E-1847-B81E-1713835953C7}" xr6:coauthVersionLast="43" xr6:coauthVersionMax="43" xr10:uidLastSave="{00000000-0000-0000-0000-000000000000}"/>
  <bookViews>
    <workbookView xWindow="1840" yWindow="1360" windowWidth="16840" windowHeight="10320" xr2:uid="{00000000-000D-0000-FFFF-FFFF00000000}"/>
  </bookViews>
  <sheets>
    <sheet name="NYYC19 Summary" sheetId="1" r:id="rId1"/>
    <sheet name="NYYC19 R1" sheetId="2" r:id="rId2"/>
    <sheet name="NYYC19 R2" sheetId="3" r:id="rId3"/>
    <sheet name="NYYC19 R3" sheetId="4" r:id="rId4"/>
    <sheet name="NYYC19 R4" sheetId="5" r:id="rId5"/>
    <sheet name="NYYC19 R5" sheetId="6" r:id="rId6"/>
    <sheet name="NYYC19 R6" sheetId="7" r:id="rId7"/>
    <sheet name="NYYC19 R7" sheetId="8" r:id="rId8"/>
    <sheet name="BoatID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K5" i="1"/>
  <c r="I9" i="1"/>
  <c r="I8" i="1"/>
  <c r="I7" i="1"/>
  <c r="I6" i="1"/>
  <c r="I5" i="1"/>
  <c r="Y22" i="8"/>
  <c r="Y21" i="8"/>
  <c r="Y20" i="8"/>
  <c r="X20" i="8"/>
  <c r="Y19" i="8"/>
  <c r="Y18" i="8"/>
  <c r="X18" i="8"/>
  <c r="Y17" i="8"/>
  <c r="X17" i="8"/>
  <c r="X22" i="8" s="1"/>
  <c r="X12" i="8"/>
  <c r="V12" i="8"/>
  <c r="Y12" i="8" s="1"/>
  <c r="Y11" i="8"/>
  <c r="X11" i="8"/>
  <c r="V11" i="8"/>
  <c r="W11" i="8" s="1"/>
  <c r="Y10" i="8"/>
  <c r="X10" i="8"/>
  <c r="V10" i="8"/>
  <c r="W10" i="8" s="1"/>
  <c r="Y9" i="8"/>
  <c r="X9" i="8"/>
  <c r="V9" i="8"/>
  <c r="W9" i="8" s="1"/>
  <c r="Y8" i="8"/>
  <c r="X8" i="8"/>
  <c r="V8" i="8"/>
  <c r="W8" i="8" s="1"/>
  <c r="Y7" i="8"/>
  <c r="X7" i="8"/>
  <c r="V7" i="8"/>
  <c r="W7" i="8" s="1"/>
  <c r="Y6" i="8"/>
  <c r="X6" i="8"/>
  <c r="V6" i="8"/>
  <c r="W6" i="8" s="1"/>
  <c r="B13" i="8"/>
  <c r="X21" i="8" l="1"/>
  <c r="X19" i="8"/>
  <c r="W12" i="8"/>
  <c r="W6" i="4"/>
  <c r="Y22" i="7"/>
  <c r="Y21" i="7"/>
  <c r="Y20" i="7"/>
  <c r="Y19" i="7"/>
  <c r="Y18" i="7"/>
  <c r="Y17" i="7"/>
  <c r="X17" i="7"/>
  <c r="X22" i="7" s="1"/>
  <c r="Y22" i="6"/>
  <c r="Y21" i="6"/>
  <c r="Y20" i="6"/>
  <c r="Y19" i="6"/>
  <c r="Y18" i="6"/>
  <c r="Y17" i="6"/>
  <c r="X17" i="6"/>
  <c r="X22" i="6" s="1"/>
  <c r="Y22" i="5"/>
  <c r="Y21" i="5"/>
  <c r="Y20" i="5"/>
  <c r="Y19" i="5"/>
  <c r="Y18" i="5"/>
  <c r="Y17" i="5"/>
  <c r="X17" i="5"/>
  <c r="X22" i="5" s="1"/>
  <c r="Y22" i="4"/>
  <c r="Y21" i="4"/>
  <c r="Y20" i="4"/>
  <c r="Y19" i="4"/>
  <c r="Y18" i="4"/>
  <c r="Y17" i="4"/>
  <c r="X17" i="4"/>
  <c r="X21" i="4" s="1"/>
  <c r="Y22" i="3"/>
  <c r="Y21" i="3"/>
  <c r="Y20" i="3"/>
  <c r="Y19" i="3"/>
  <c r="Y18" i="3"/>
  <c r="Y17" i="3"/>
  <c r="X17" i="3"/>
  <c r="X22" i="3" s="1"/>
  <c r="Y22" i="2"/>
  <c r="Y21" i="2"/>
  <c r="Y20" i="2"/>
  <c r="Y19" i="2"/>
  <c r="Y18" i="2"/>
  <c r="X22" i="2"/>
  <c r="Y17" i="2"/>
  <c r="X21" i="2"/>
  <c r="X20" i="2"/>
  <c r="X19" i="2"/>
  <c r="X18" i="2"/>
  <c r="X17" i="2"/>
  <c r="V12" i="7"/>
  <c r="Y12" i="7" s="1"/>
  <c r="V11" i="7"/>
  <c r="Y11" i="7" s="1"/>
  <c r="V10" i="7"/>
  <c r="Y10" i="7" s="1"/>
  <c r="V9" i="7"/>
  <c r="Y9" i="7" s="1"/>
  <c r="V8" i="7"/>
  <c r="Y8" i="7" s="1"/>
  <c r="V7" i="7"/>
  <c r="Y7" i="7" s="1"/>
  <c r="V6" i="7"/>
  <c r="Y6" i="7" s="1"/>
  <c r="V13" i="6"/>
  <c r="Y13" i="6" s="1"/>
  <c r="V12" i="6"/>
  <c r="Y12" i="6" s="1"/>
  <c r="V11" i="6"/>
  <c r="Y11" i="6" s="1"/>
  <c r="V10" i="6"/>
  <c r="Y10" i="6" s="1"/>
  <c r="V9" i="6"/>
  <c r="Y9" i="6" s="1"/>
  <c r="V8" i="6"/>
  <c r="Y8" i="6" s="1"/>
  <c r="V7" i="6"/>
  <c r="Y7" i="6" s="1"/>
  <c r="V6" i="6"/>
  <c r="Y6" i="6" s="1"/>
  <c r="V13" i="5"/>
  <c r="Y13" i="5" s="1"/>
  <c r="V12" i="5"/>
  <c r="Y12" i="5" s="1"/>
  <c r="V11" i="5"/>
  <c r="Y11" i="5" s="1"/>
  <c r="V10" i="5"/>
  <c r="Y10" i="5" s="1"/>
  <c r="V9" i="5"/>
  <c r="Y9" i="5" s="1"/>
  <c r="V8" i="5"/>
  <c r="Y8" i="5" s="1"/>
  <c r="V7" i="5"/>
  <c r="Y7" i="5" s="1"/>
  <c r="V6" i="5"/>
  <c r="Y6" i="5" s="1"/>
  <c r="V12" i="4"/>
  <c r="Y12" i="4" s="1"/>
  <c r="V11" i="4"/>
  <c r="Y11" i="4" s="1"/>
  <c r="V10" i="4"/>
  <c r="Y10" i="4" s="1"/>
  <c r="V9" i="4"/>
  <c r="Y9" i="4" s="1"/>
  <c r="V8" i="4"/>
  <c r="Y8" i="4" s="1"/>
  <c r="V7" i="4"/>
  <c r="Y7" i="4" s="1"/>
  <c r="V6" i="4"/>
  <c r="Y6" i="4" s="1"/>
  <c r="V12" i="3"/>
  <c r="Y12" i="3" s="1"/>
  <c r="V11" i="3"/>
  <c r="Y11" i="3" s="1"/>
  <c r="V10" i="3"/>
  <c r="Y10" i="3" s="1"/>
  <c r="V9" i="3"/>
  <c r="Y9" i="3" s="1"/>
  <c r="V8" i="3"/>
  <c r="Y8" i="3" s="1"/>
  <c r="V7" i="3"/>
  <c r="Y7" i="3" s="1"/>
  <c r="V6" i="3"/>
  <c r="Y6" i="3" s="1"/>
  <c r="V12" i="2"/>
  <c r="V11" i="2"/>
  <c r="V10" i="2"/>
  <c r="X10" i="2" s="1"/>
  <c r="V9" i="2"/>
  <c r="Y9" i="2" s="1"/>
  <c r="Y12" i="2"/>
  <c r="X12" i="2"/>
  <c r="W12" i="2"/>
  <c r="Y11" i="2"/>
  <c r="X11" i="2"/>
  <c r="W11" i="2"/>
  <c r="W10" i="2"/>
  <c r="Y8" i="2"/>
  <c r="X8" i="2"/>
  <c r="W8" i="2"/>
  <c r="Y7" i="2"/>
  <c r="X7" i="2"/>
  <c r="W7" i="2"/>
  <c r="Y6" i="2"/>
  <c r="X6" i="2"/>
  <c r="W6" i="2"/>
  <c r="Q12" i="2"/>
  <c r="Q11" i="2"/>
  <c r="Q10" i="2"/>
  <c r="Q9" i="2"/>
  <c r="V8" i="2"/>
  <c r="V7" i="2"/>
  <c r="V6" i="2"/>
  <c r="B13" i="7"/>
  <c r="B14" i="6"/>
  <c r="B15" i="5"/>
  <c r="G22" i="7"/>
  <c r="D22" i="7"/>
  <c r="G21" i="7"/>
  <c r="H8" i="1" s="1"/>
  <c r="D21" i="7"/>
  <c r="G20" i="7"/>
  <c r="D20" i="7"/>
  <c r="G19" i="7"/>
  <c r="H5" i="1" s="1"/>
  <c r="D19" i="7"/>
  <c r="G18" i="7"/>
  <c r="D18" i="7"/>
  <c r="P18" i="7"/>
  <c r="P17" i="7"/>
  <c r="P16" i="7"/>
  <c r="P15" i="7"/>
  <c r="P14" i="7"/>
  <c r="T10" i="7"/>
  <c r="S10" i="7"/>
  <c r="E10" i="7"/>
  <c r="D10" i="7"/>
  <c r="T9" i="7"/>
  <c r="S9" i="7"/>
  <c r="E9" i="7"/>
  <c r="D9" i="7"/>
  <c r="T8" i="7"/>
  <c r="S8" i="7"/>
  <c r="E8" i="7"/>
  <c r="D8" i="7"/>
  <c r="T7" i="7"/>
  <c r="S7" i="7"/>
  <c r="E7" i="7"/>
  <c r="D7" i="7"/>
  <c r="T6" i="7"/>
  <c r="S6" i="7"/>
  <c r="E6" i="7"/>
  <c r="D6" i="7"/>
  <c r="G22" i="6"/>
  <c r="D22" i="6"/>
  <c r="D21" i="6"/>
  <c r="H20" i="6"/>
  <c r="D20" i="6"/>
  <c r="G19" i="6"/>
  <c r="D19" i="6"/>
  <c r="G18" i="6"/>
  <c r="G6" i="1" s="1"/>
  <c r="D18" i="6"/>
  <c r="P18" i="6"/>
  <c r="P17" i="6"/>
  <c r="P16" i="6"/>
  <c r="P15" i="6"/>
  <c r="P14" i="6"/>
  <c r="S9" i="6"/>
  <c r="T9" i="6" s="1"/>
  <c r="D9" i="6"/>
  <c r="E9" i="6" s="1"/>
  <c r="S8" i="6"/>
  <c r="T8" i="6" s="1"/>
  <c r="D8" i="6"/>
  <c r="E8" i="6" s="1"/>
  <c r="S7" i="6"/>
  <c r="T7" i="6" s="1"/>
  <c r="D7" i="6"/>
  <c r="E7" i="6" s="1"/>
  <c r="S6" i="6"/>
  <c r="T6" i="6" s="1"/>
  <c r="D6" i="6"/>
  <c r="E6" i="6" s="1"/>
  <c r="G21" i="5"/>
  <c r="F8" i="1" s="1"/>
  <c r="D21" i="5"/>
  <c r="G20" i="5"/>
  <c r="D20" i="5"/>
  <c r="G19" i="5"/>
  <c r="F7" i="1" s="1"/>
  <c r="D19" i="5"/>
  <c r="G18" i="5"/>
  <c r="F5" i="1" s="1"/>
  <c r="D18" i="5"/>
  <c r="P20" i="5"/>
  <c r="P19" i="5"/>
  <c r="P18" i="5"/>
  <c r="P17" i="5"/>
  <c r="P16" i="5"/>
  <c r="S13" i="5"/>
  <c r="T13" i="5" s="1"/>
  <c r="D13" i="5"/>
  <c r="E13" i="5" s="1"/>
  <c r="S12" i="5"/>
  <c r="T12" i="5" s="1"/>
  <c r="D12" i="5"/>
  <c r="E12" i="5" s="1"/>
  <c r="S11" i="5"/>
  <c r="T11" i="5" s="1"/>
  <c r="D11" i="5"/>
  <c r="E11" i="5" s="1"/>
  <c r="S10" i="5"/>
  <c r="T10" i="5" s="1"/>
  <c r="D10" i="5"/>
  <c r="E10" i="5" s="1"/>
  <c r="S9" i="5"/>
  <c r="T9" i="5" s="1"/>
  <c r="D9" i="5"/>
  <c r="E9" i="5" s="1"/>
  <c r="S8" i="5"/>
  <c r="T8" i="5" s="1"/>
  <c r="D8" i="5"/>
  <c r="E8" i="5" s="1"/>
  <c r="S7" i="5"/>
  <c r="T7" i="5" s="1"/>
  <c r="D7" i="5"/>
  <c r="E7" i="5" s="1"/>
  <c r="S6" i="5"/>
  <c r="T6" i="5" s="1"/>
  <c r="D6" i="5"/>
  <c r="E6" i="5" s="1"/>
  <c r="P24" i="4"/>
  <c r="P23" i="4"/>
  <c r="P22" i="4"/>
  <c r="G22" i="4"/>
  <c r="D22" i="4"/>
  <c r="P21" i="4"/>
  <c r="G21" i="4"/>
  <c r="D21" i="4"/>
  <c r="P20" i="4"/>
  <c r="G20" i="4"/>
  <c r="D20" i="4"/>
  <c r="G19" i="4"/>
  <c r="D19" i="4"/>
  <c r="Q18" i="4"/>
  <c r="P18" i="4"/>
  <c r="G18" i="4"/>
  <c r="D18" i="4"/>
  <c r="B14" i="4"/>
  <c r="T10" i="4"/>
  <c r="E10" i="4"/>
  <c r="D10" i="4"/>
  <c r="S9" i="4"/>
  <c r="T9" i="4" s="1"/>
  <c r="E9" i="4"/>
  <c r="D9" i="4"/>
  <c r="S8" i="4"/>
  <c r="T8" i="4" s="1"/>
  <c r="E8" i="4"/>
  <c r="D8" i="4"/>
  <c r="T7" i="4"/>
  <c r="E7" i="4"/>
  <c r="D7" i="4"/>
  <c r="S6" i="4"/>
  <c r="T6" i="4" s="1"/>
  <c r="E6" i="4"/>
  <c r="D6" i="4"/>
  <c r="G21" i="3"/>
  <c r="D21" i="3"/>
  <c r="G20" i="3"/>
  <c r="D20" i="3"/>
  <c r="G19" i="3"/>
  <c r="D19" i="3"/>
  <c r="G18" i="3"/>
  <c r="D18" i="3"/>
  <c r="B14" i="3"/>
  <c r="D8" i="3"/>
  <c r="E8" i="3" s="1"/>
  <c r="J7" i="3"/>
  <c r="D7" i="3"/>
  <c r="E7" i="3" s="1"/>
  <c r="J6" i="3"/>
  <c r="D6" i="3" s="1"/>
  <c r="E6" i="3" s="1"/>
  <c r="G22" i="2"/>
  <c r="D22" i="2"/>
  <c r="G21" i="2"/>
  <c r="D21" i="2"/>
  <c r="G20" i="2"/>
  <c r="D20" i="2"/>
  <c r="G19" i="2"/>
  <c r="D19" i="2"/>
  <c r="G18" i="2"/>
  <c r="D18" i="2"/>
  <c r="B13" i="2"/>
  <c r="J8" i="2"/>
  <c r="D8" i="2"/>
  <c r="E8" i="2" s="1"/>
  <c r="J7" i="2"/>
  <c r="D7" i="2"/>
  <c r="E7" i="2" s="1"/>
  <c r="J6" i="2"/>
  <c r="D6" i="2" s="1"/>
  <c r="E6" i="2" s="1"/>
  <c r="H9" i="1"/>
  <c r="G9" i="1"/>
  <c r="E9" i="1"/>
  <c r="D9" i="1"/>
  <c r="C9" i="1"/>
  <c r="G8" i="1"/>
  <c r="E8" i="1"/>
  <c r="D8" i="1"/>
  <c r="C8" i="1"/>
  <c r="H7" i="1"/>
  <c r="G7" i="1"/>
  <c r="E7" i="1"/>
  <c r="D7" i="1"/>
  <c r="C7" i="1"/>
  <c r="H6" i="1"/>
  <c r="F6" i="1"/>
  <c r="E6" i="1"/>
  <c r="D6" i="1"/>
  <c r="C6" i="1"/>
  <c r="G5" i="1"/>
  <c r="E5" i="1"/>
  <c r="D5" i="1"/>
  <c r="C5" i="1"/>
  <c r="X19" i="7" l="1"/>
  <c r="X21" i="7"/>
  <c r="X18" i="7"/>
  <c r="X20" i="7"/>
  <c r="X19" i="6"/>
  <c r="X21" i="6"/>
  <c r="X18" i="6"/>
  <c r="X20" i="6"/>
  <c r="X19" i="5"/>
  <c r="X21" i="5"/>
  <c r="X18" i="5"/>
  <c r="X20" i="5"/>
  <c r="X18" i="4"/>
  <c r="X20" i="4"/>
  <c r="X22" i="4"/>
  <c r="X19" i="4"/>
  <c r="X19" i="3"/>
  <c r="X21" i="3"/>
  <c r="X18" i="3"/>
  <c r="X20" i="3"/>
  <c r="W8" i="7"/>
  <c r="X6" i="7"/>
  <c r="X7" i="7"/>
  <c r="X8" i="7"/>
  <c r="X9" i="7"/>
  <c r="X10" i="7"/>
  <c r="X11" i="7"/>
  <c r="X12" i="7"/>
  <c r="W6" i="7"/>
  <c r="W7" i="7"/>
  <c r="W9" i="7"/>
  <c r="W10" i="7"/>
  <c r="W11" i="7"/>
  <c r="W12" i="7"/>
  <c r="W6" i="6"/>
  <c r="W8" i="6"/>
  <c r="W10" i="6"/>
  <c r="W13" i="6"/>
  <c r="X6" i="6"/>
  <c r="X7" i="6"/>
  <c r="X8" i="6"/>
  <c r="X9" i="6"/>
  <c r="X10" i="6"/>
  <c r="X11" i="6"/>
  <c r="X12" i="6"/>
  <c r="X13" i="6"/>
  <c r="W7" i="6"/>
  <c r="W9" i="6"/>
  <c r="W11" i="6"/>
  <c r="W12" i="6"/>
  <c r="W13" i="5"/>
  <c r="X13" i="5"/>
  <c r="W6" i="5"/>
  <c r="W7" i="5"/>
  <c r="W8" i="5"/>
  <c r="W9" i="5"/>
  <c r="W10" i="5"/>
  <c r="W12" i="5"/>
  <c r="X6" i="5"/>
  <c r="X7" i="5"/>
  <c r="X8" i="5"/>
  <c r="X9" i="5"/>
  <c r="X10" i="5"/>
  <c r="X11" i="5"/>
  <c r="X12" i="5"/>
  <c r="W11" i="5"/>
  <c r="W12" i="4"/>
  <c r="W8" i="4"/>
  <c r="W11" i="4"/>
  <c r="X6" i="4"/>
  <c r="X7" i="4"/>
  <c r="X8" i="4"/>
  <c r="X9" i="4"/>
  <c r="X10" i="4"/>
  <c r="X11" i="4"/>
  <c r="X12" i="4"/>
  <c r="W7" i="4"/>
  <c r="W9" i="4"/>
  <c r="W10" i="4"/>
  <c r="W6" i="3"/>
  <c r="W7" i="3"/>
  <c r="W8" i="3"/>
  <c r="W9" i="3"/>
  <c r="W10" i="3"/>
  <c r="W11" i="3"/>
  <c r="W12" i="3"/>
  <c r="X6" i="3"/>
  <c r="X7" i="3"/>
  <c r="X8" i="3"/>
  <c r="X9" i="3"/>
  <c r="X10" i="3"/>
  <c r="X11" i="3"/>
  <c r="X12" i="3"/>
  <c r="W9" i="2"/>
  <c r="X9" i="2"/>
  <c r="Y10" i="2"/>
</calcChain>
</file>

<file path=xl/sharedStrings.xml><?xml version="1.0" encoding="utf-8"?>
<sst xmlns="http://schemas.openxmlformats.org/spreadsheetml/2006/main" count="464" uniqueCount="100">
  <si>
    <t>NYYC 175th Anniversary (NYYC19)</t>
  </si>
  <si>
    <t>Regatta</t>
  </si>
  <si>
    <t>July 15-20 2019</t>
  </si>
  <si>
    <t>NYYC19</t>
  </si>
  <si>
    <t>Rank</t>
  </si>
  <si>
    <t>Boat</t>
  </si>
  <si>
    <t>Race</t>
  </si>
  <si>
    <t>R1</t>
  </si>
  <si>
    <t>R2</t>
  </si>
  <si>
    <t>St-N-5-Fin</t>
  </si>
  <si>
    <t>Start Time</t>
  </si>
  <si>
    <t>R3</t>
  </si>
  <si>
    <t>R4</t>
  </si>
  <si>
    <t>R5</t>
  </si>
  <si>
    <t>R6</t>
  </si>
  <si>
    <t>TWDs</t>
  </si>
  <si>
    <t>R7</t>
  </si>
  <si>
    <t>Total</t>
  </si>
  <si>
    <t>Leg</t>
  </si>
  <si>
    <t>Distance</t>
  </si>
  <si>
    <t>Bearing</t>
  </si>
  <si>
    <t>TWD</t>
  </si>
  <si>
    <t>TWA</t>
  </si>
  <si>
    <t>FT</t>
  </si>
  <si>
    <t>Flow</t>
  </si>
  <si>
    <t>Nala</t>
  </si>
  <si>
    <t>VaiVai</t>
  </si>
  <si>
    <t>Condor</t>
  </si>
  <si>
    <t>Leg Ending at:</t>
  </si>
  <si>
    <t>N - Beavertail</t>
  </si>
  <si>
    <t>5 - MOA</t>
  </si>
  <si>
    <t>Fin</t>
  </si>
  <si>
    <t>Total Dist</t>
  </si>
  <si>
    <t>ET</t>
  </si>
  <si>
    <t>CorrTime</t>
  </si>
  <si>
    <t>Delta</t>
  </si>
  <si>
    <t>Implied Wind</t>
  </si>
  <si>
    <t>RANK</t>
  </si>
  <si>
    <t>FaultTolerant</t>
  </si>
  <si>
    <t>DNF</t>
  </si>
  <si>
    <t>Logs Rec'd:</t>
  </si>
  <si>
    <t>Mon</t>
  </si>
  <si>
    <t>Tues</t>
  </si>
  <si>
    <t>Thurs</t>
  </si>
  <si>
    <t>Fri</t>
  </si>
  <si>
    <t>Sat</t>
  </si>
  <si>
    <t>Y</t>
  </si>
  <si>
    <t>DNS</t>
  </si>
  <si>
    <t>St-O-13-5-Fin(F)</t>
  </si>
  <si>
    <t>current</t>
  </si>
  <si>
    <t>Current</t>
  </si>
  <si>
    <t>Set</t>
  </si>
  <si>
    <t>drift</t>
  </si>
  <si>
    <t>Mins</t>
  </si>
  <si>
    <t>DistAdj</t>
  </si>
  <si>
    <t>Dist Adj</t>
  </si>
  <si>
    <t>Oscar</t>
  </si>
  <si>
    <t>Favorable current</t>
  </si>
  <si>
    <t>land point</t>
  </si>
  <si>
    <t>not much current behind the land</t>
  </si>
  <si>
    <t>13</t>
  </si>
  <si>
    <t>adverse current</t>
  </si>
  <si>
    <t>05</t>
  </si>
  <si>
    <t>Current adverse in outer harbor and favorable inner harbor - cancelled each other</t>
  </si>
  <si>
    <t>wgt avg for Condor TWD upwind from 13 to 05</t>
  </si>
  <si>
    <t>NPT-17</t>
  </si>
  <si>
    <t>Newport Bridge E Gate</t>
  </si>
  <si>
    <t>NPT-Q</t>
  </si>
  <si>
    <t>St-05-13-Q-Fin(F)</t>
  </si>
  <si>
    <t>RCI Fin Boat</t>
  </si>
  <si>
    <t>NPT-05</t>
  </si>
  <si>
    <t>cancelled out last of flood and begin of ebb</t>
  </si>
  <si>
    <t>NPT-13</t>
  </si>
  <si>
    <t>20% penaltyx6 rounded to nearest=1pt Per Rule 44.39(c)</t>
  </si>
  <si>
    <t>St-K-TB-WZ-N-Fin(F)</t>
  </si>
  <si>
    <t>K</t>
  </si>
  <si>
    <t>TB</t>
  </si>
  <si>
    <t>cross current</t>
  </si>
  <si>
    <t>WZ</t>
  </si>
  <si>
    <t>N</t>
  </si>
  <si>
    <t>St--Fin(F)</t>
  </si>
  <si>
    <t>BoatName</t>
  </si>
  <si>
    <t>BoatID</t>
  </si>
  <si>
    <t>MH002</t>
  </si>
  <si>
    <t>MH003</t>
  </si>
  <si>
    <t>MH005</t>
  </si>
  <si>
    <t>MH014</t>
  </si>
  <si>
    <t>MH021</t>
  </si>
  <si>
    <t>incl for penalty</t>
  </si>
  <si>
    <t>leg</t>
  </si>
  <si>
    <t>distance</t>
  </si>
  <si>
    <t>bearing</t>
  </si>
  <si>
    <t>twd</t>
  </si>
  <si>
    <t>Start</t>
  </si>
  <si>
    <t>Green</t>
  </si>
  <si>
    <t>Teal</t>
  </si>
  <si>
    <t>Blue</t>
  </si>
  <si>
    <t>Red</t>
  </si>
  <si>
    <t>Black</t>
  </si>
  <si>
    <t>No wind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</si>
</sst>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#,##0.000"/>
    <numFmt numFmtId="166" formatCode="h&quot;:&quot;mm&quot;:&quot;ss"/>
    <numFmt numFmtId="167" formatCode="#,##0.0000"/>
    <numFmt numFmtId="168" formatCode="m/d"/>
    <numFmt numFmtId="169" formatCode="mmm\ d\ yy\ h:mm:ss"/>
  </numFmts>
  <fonts count="12"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color rgb="FF000000"/>
      <name val="Arial"/>
      <family val="2"/>
    </font>
    <font>
      <sz val="11"/>
      <color rgb="FF000000"/>
      <name val="TimesNewRomanPSMT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4A86E8"/>
      <name val="Calibri"/>
      <family val="2"/>
    </font>
    <font>
      <sz val="12"/>
      <color rgb="FF000000"/>
      <name val="Calibri"/>
      <family val="2"/>
    </font>
    <font>
      <sz val="12"/>
      <color rgb="FF6AA84F"/>
      <name val="Calibri"/>
      <family val="2"/>
    </font>
    <font>
      <sz val="12"/>
      <color rgb="FFCC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/>
    <xf numFmtId="0" fontId="2" fillId="0" borderId="2" xfId="0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1" fontId="1" fillId="0" borderId="0" xfId="0" applyNumberFormat="1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0" borderId="0" xfId="0" applyFont="1" applyAlignment="1"/>
    <xf numFmtId="21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right"/>
    </xf>
    <xf numFmtId="167" fontId="0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quotePrefix="1" applyFont="1" applyAlignment="1"/>
    <xf numFmtId="3" fontId="0" fillId="0" borderId="0" xfId="0" applyNumberFormat="1" applyFont="1" applyAlignment="1">
      <alignment horizontal="right"/>
    </xf>
    <xf numFmtId="0" fontId="6" fillId="0" borderId="0" xfId="0" quotePrefix="1" applyFont="1" applyAlignment="1"/>
    <xf numFmtId="0" fontId="6" fillId="0" borderId="0" xfId="0" applyFont="1" applyAlignme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3" fontId="8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169" fontId="0" fillId="0" borderId="0" xfId="0" applyNumberFormat="1" applyFont="1" applyAlignment="1"/>
    <xf numFmtId="0" fontId="7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4" fontId="9" fillId="0" borderId="0" xfId="0" applyNumberFormat="1" applyFont="1" applyAlignment="1"/>
    <xf numFmtId="21" fontId="9" fillId="0" borderId="0" xfId="0" applyNumberFormat="1" applyFont="1" applyAlignment="1"/>
    <xf numFmtId="21" fontId="1" fillId="0" borderId="0" xfId="0" applyNumberFormat="1" applyFont="1" applyAlignment="1"/>
    <xf numFmtId="14" fontId="1" fillId="0" borderId="0" xfId="0" applyNumberFormat="1" applyFont="1" applyAlignment="1"/>
    <xf numFmtId="0" fontId="10" fillId="0" borderId="0" xfId="0" applyFont="1" applyAlignment="1"/>
    <xf numFmtId="0" fontId="11" fillId="0" borderId="0" xfId="0" applyFont="1" applyAlignment="1"/>
    <xf numFmtId="20" fontId="9" fillId="0" borderId="0" xfId="0" applyNumberFormat="1" applyFont="1" applyAlignment="1"/>
  </cellXfs>
  <cellStyles count="1">
    <cellStyle name="Normal" xfId="0" builtinId="0"/>
  </cellStyles>
  <dxfs count="15"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tabSelected="1" workbookViewId="0">
      <selection activeCell="N5" sqref="N5"/>
    </sheetView>
  </sheetViews>
  <sheetFormatPr baseColWidth="10" defaultColWidth="11.1640625" defaultRowHeight="15" customHeight="1"/>
  <cols>
    <col min="1" max="1" width="7.33203125" customWidth="1"/>
    <col min="2" max="2" width="9.83203125" customWidth="1"/>
    <col min="3" max="6" width="5" customWidth="1"/>
    <col min="7" max="9" width="5.5" customWidth="1"/>
    <col min="10" max="24" width="10.5" customWidth="1"/>
  </cols>
  <sheetData>
    <row r="1" spans="1:12" ht="15.75" customHeight="1">
      <c r="A1" s="1" t="s">
        <v>0</v>
      </c>
    </row>
    <row r="2" spans="1:12" ht="15.75" customHeight="1">
      <c r="A2" s="3" t="s">
        <v>2</v>
      </c>
    </row>
    <row r="3" spans="1:12" ht="15.75" customHeight="1"/>
    <row r="4" spans="1:12" ht="15.75" customHeight="1">
      <c r="A4" s="4" t="s">
        <v>4</v>
      </c>
      <c r="B4" s="6" t="s">
        <v>5</v>
      </c>
      <c r="C4" s="7" t="s">
        <v>7</v>
      </c>
      <c r="D4" s="7" t="s">
        <v>8</v>
      </c>
      <c r="E4" s="7" t="s">
        <v>11</v>
      </c>
      <c r="F4" s="7" t="s">
        <v>12</v>
      </c>
      <c r="G4" s="7" t="s">
        <v>13</v>
      </c>
      <c r="H4" s="11" t="s">
        <v>14</v>
      </c>
      <c r="I4" s="11" t="s">
        <v>16</v>
      </c>
      <c r="K4" s="7" t="s">
        <v>17</v>
      </c>
    </row>
    <row r="5" spans="1:12" ht="15.75" customHeight="1">
      <c r="A5" s="13">
        <v>1</v>
      </c>
      <c r="B5" s="15" t="s">
        <v>24</v>
      </c>
      <c r="C5" s="19">
        <f>VLOOKUP(B5,'NYYC19 R1'!A$18:H$23,7,0)</f>
        <v>4</v>
      </c>
      <c r="D5" s="19">
        <f>VLOOKUP($B5,'NYYC19 R2'!$A$18:$H$23,7,0)</f>
        <v>1</v>
      </c>
      <c r="E5" s="19">
        <f>VLOOKUP($B5,'NYYC19 R3'!$A$18:$H$23,7,0)</f>
        <v>1</v>
      </c>
      <c r="F5" s="19">
        <f>VLOOKUP($B5,'NYYC19 R4'!$A$18:$H$22,7,0)</f>
        <v>1</v>
      </c>
      <c r="G5" s="19">
        <f>VLOOKUP($B5,'NYYC19 R5'!$A$17:$H$21,7,0)</f>
        <v>4</v>
      </c>
      <c r="H5" s="19">
        <f>VLOOKUP($B5,'NYYC19 R6'!$A$18:$H$24,7,0)</f>
        <v>2</v>
      </c>
      <c r="I5" s="19">
        <f>VLOOKUP($B5,'NYYC19 R7'!$A$18:$H$24,7,0)</f>
        <v>2</v>
      </c>
      <c r="K5" s="24">
        <f>SUM(C5:I5)</f>
        <v>15</v>
      </c>
    </row>
    <row r="6" spans="1:12" ht="15.75" customHeight="1">
      <c r="A6" s="13">
        <v>2</v>
      </c>
      <c r="B6" s="15" t="s">
        <v>26</v>
      </c>
      <c r="C6" s="19">
        <f>VLOOKUP(B6,'NYYC19 R1'!A$18:H$23,7,0)</f>
        <v>1</v>
      </c>
      <c r="D6" s="19">
        <f>VLOOKUP($B6,'NYYC19 R2'!$A$18:$H$23,7,0)</f>
        <v>3</v>
      </c>
      <c r="E6" s="19">
        <f>VLOOKUP($B6,'NYYC19 R3'!$A$18:$H$23,7,0)</f>
        <v>2</v>
      </c>
      <c r="F6" s="19">
        <f>VLOOKUP($B6,'NYYC19 R4'!$A$18:$H$22,7,0)</f>
        <v>3</v>
      </c>
      <c r="G6" s="19">
        <f>VLOOKUP($B6,'NYYC19 R5'!$A$17:$H$21,7,0)</f>
        <v>1</v>
      </c>
      <c r="H6" s="19">
        <f>VLOOKUP($B6,'NYYC19 R6'!$A$18:$H$24,7,0)</f>
        <v>3</v>
      </c>
      <c r="I6" s="19">
        <f>VLOOKUP($B6,'NYYC19 R7'!$A$18:$H$24,7,0)</f>
        <v>3</v>
      </c>
      <c r="K6" s="24">
        <f t="shared" ref="K6:K9" si="0">SUM(C6:I6)</f>
        <v>16</v>
      </c>
    </row>
    <row r="7" spans="1:12" ht="15.75" customHeight="1">
      <c r="A7" s="13">
        <v>3</v>
      </c>
      <c r="B7" s="15" t="s">
        <v>25</v>
      </c>
      <c r="C7" s="19">
        <f>VLOOKUP(B7,'NYYC19 R1'!A$18:H$23,7,0)</f>
        <v>2</v>
      </c>
      <c r="D7" s="19">
        <f>VLOOKUP($B7,'NYYC19 R2'!$A$18:$H$23,7,0)</f>
        <v>6</v>
      </c>
      <c r="E7" s="19">
        <f>VLOOKUP($B7,'NYYC19 R3'!$A$18:$H$23,7,0)</f>
        <v>5</v>
      </c>
      <c r="F7" s="19">
        <f>VLOOKUP($B7,'NYYC19 R4'!$A$18:$H$22,7,0)</f>
        <v>2</v>
      </c>
      <c r="G7" s="19">
        <f>VLOOKUP($B7,'NYYC19 R5'!$A$17:$H$21,7,0)</f>
        <v>2</v>
      </c>
      <c r="H7" s="19">
        <f>VLOOKUP($B7,'NYYC19 R6'!$A$18:$H$24,7,0)</f>
        <v>1</v>
      </c>
      <c r="I7" s="19">
        <f>VLOOKUP($B7,'NYYC19 R7'!$A$18:$H$24,7,0)</f>
        <v>4</v>
      </c>
      <c r="K7" s="24">
        <f t="shared" si="0"/>
        <v>22</v>
      </c>
    </row>
    <row r="8" spans="1:12" ht="15.75" customHeight="1">
      <c r="A8" s="13">
        <v>4</v>
      </c>
      <c r="B8" s="15" t="s">
        <v>27</v>
      </c>
      <c r="C8" s="19">
        <f>VLOOKUP(B8,'NYYC19 R1'!A$18:H$23,7,0)</f>
        <v>5</v>
      </c>
      <c r="D8" s="19">
        <f>VLOOKUP($B8,'NYYC19 R2'!$A$18:$H$23,7,0)</f>
        <v>4</v>
      </c>
      <c r="E8" s="19">
        <f>VLOOKUP($B8,'NYYC19 R3'!$A$18:$H$23,7,0)</f>
        <v>3</v>
      </c>
      <c r="F8" s="19">
        <f>VLOOKUP($B8,'NYYC19 R4'!$A$18:$H$22,7,0)</f>
        <v>4</v>
      </c>
      <c r="G8" s="19">
        <f>VLOOKUP($B8,'NYYC19 R5'!$A$17:$H$21,7,0)</f>
        <v>4</v>
      </c>
      <c r="H8" s="19">
        <f>VLOOKUP($B8,'NYYC19 R6'!$A$18:$H$24,7,0)</f>
        <v>4</v>
      </c>
      <c r="I8" s="19">
        <f>VLOOKUP($B8,'NYYC19 R7'!$A$18:$H$24,7,0)</f>
        <v>1</v>
      </c>
      <c r="K8" s="24">
        <f t="shared" si="0"/>
        <v>25</v>
      </c>
    </row>
    <row r="9" spans="1:12" ht="15.75" customHeight="1">
      <c r="A9" s="13">
        <v>5</v>
      </c>
      <c r="B9" s="15" t="s">
        <v>38</v>
      </c>
      <c r="C9" s="19">
        <f>VLOOKUP(B9,'NYYC19 R1'!A$18:H$23,7,0)</f>
        <v>3</v>
      </c>
      <c r="D9" s="19">
        <f>VLOOKUP($B9,'NYYC19 R2'!$A$18:$H$23,7,0)</f>
        <v>2</v>
      </c>
      <c r="E9" s="19">
        <f>VLOOKUP($B9,'NYYC19 R3'!$A$18:$H$23,7,0)</f>
        <v>4</v>
      </c>
      <c r="F9" s="19">
        <v>6</v>
      </c>
      <c r="G9" s="19">
        <f>VLOOKUP($B9,'NYYC19 R5'!$A$17:$H$22,7,0)</f>
        <v>5</v>
      </c>
      <c r="H9" s="19">
        <f>VLOOKUP($B9,'NYYC19 R6'!$A$18:$H$25,7,0)</f>
        <v>5</v>
      </c>
      <c r="I9" s="19">
        <f>VLOOKUP($B9,'NYYC19 R7'!$A$18:$H$25,7,0)</f>
        <v>5</v>
      </c>
      <c r="K9" s="24">
        <f t="shared" si="0"/>
        <v>30</v>
      </c>
    </row>
    <row r="10" spans="1:12" ht="15.75" customHeight="1"/>
    <row r="11" spans="1:12" ht="15.75" customHeight="1">
      <c r="C11" s="37">
        <v>43661</v>
      </c>
      <c r="D11" s="37">
        <v>43662</v>
      </c>
      <c r="E11" s="37">
        <v>43664</v>
      </c>
      <c r="F11" s="37">
        <v>43665</v>
      </c>
      <c r="G11" s="37">
        <v>43666</v>
      </c>
    </row>
    <row r="12" spans="1:12" ht="15.75" customHeight="1">
      <c r="A12" s="16" t="s">
        <v>40</v>
      </c>
      <c r="C12" s="11" t="s">
        <v>41</v>
      </c>
      <c r="D12" s="11" t="s">
        <v>42</v>
      </c>
      <c r="E12" s="11" t="s">
        <v>43</v>
      </c>
      <c r="F12" s="11" t="s">
        <v>44</v>
      </c>
      <c r="G12" s="11" t="s">
        <v>45</v>
      </c>
      <c r="L12" s="38"/>
    </row>
    <row r="13" spans="1:12" ht="15.75" customHeight="1">
      <c r="A13" s="15" t="s">
        <v>23</v>
      </c>
      <c r="C13" s="34" t="s">
        <v>46</v>
      </c>
      <c r="D13" s="34" t="s">
        <v>46</v>
      </c>
      <c r="E13" s="34" t="s">
        <v>47</v>
      </c>
      <c r="F13" s="49" t="s">
        <v>99</v>
      </c>
      <c r="G13" s="34"/>
    </row>
    <row r="14" spans="1:12" ht="15.75" customHeight="1">
      <c r="A14" s="15" t="s">
        <v>24</v>
      </c>
      <c r="C14" s="34" t="s">
        <v>46</v>
      </c>
      <c r="D14" s="34" t="s">
        <v>46</v>
      </c>
      <c r="E14" s="34" t="s">
        <v>46</v>
      </c>
      <c r="F14" s="34" t="s">
        <v>46</v>
      </c>
      <c r="G14" s="34" t="s">
        <v>46</v>
      </c>
    </row>
    <row r="15" spans="1:12" ht="15.75" customHeight="1">
      <c r="A15" s="15" t="s">
        <v>25</v>
      </c>
      <c r="C15" s="34" t="s">
        <v>46</v>
      </c>
      <c r="D15" s="34" t="s">
        <v>46</v>
      </c>
      <c r="E15" s="34" t="s">
        <v>46</v>
      </c>
      <c r="F15" s="34" t="s">
        <v>46</v>
      </c>
      <c r="G15" s="34" t="s">
        <v>46</v>
      </c>
    </row>
    <row r="16" spans="1:12" ht="15.75" customHeight="1">
      <c r="A16" s="15" t="s">
        <v>26</v>
      </c>
      <c r="C16" s="34" t="s">
        <v>46</v>
      </c>
      <c r="D16" s="34" t="s">
        <v>46</v>
      </c>
      <c r="E16" s="34" t="s">
        <v>46</v>
      </c>
      <c r="F16" s="34" t="s">
        <v>46</v>
      </c>
      <c r="G16" s="34" t="s">
        <v>46</v>
      </c>
    </row>
    <row r="17" spans="1:7" ht="15.75" customHeight="1">
      <c r="A17" s="15" t="s">
        <v>27</v>
      </c>
      <c r="C17" s="34" t="s">
        <v>46</v>
      </c>
      <c r="D17" s="34" t="s">
        <v>46</v>
      </c>
      <c r="E17" s="34" t="s">
        <v>46</v>
      </c>
      <c r="F17" s="34" t="s">
        <v>46</v>
      </c>
      <c r="G17" s="34" t="s">
        <v>46</v>
      </c>
    </row>
    <row r="18" spans="1:7" ht="15.75" customHeight="1">
      <c r="A18" s="15"/>
      <c r="B18" s="33"/>
      <c r="C18" s="34"/>
      <c r="D18" s="33"/>
      <c r="E18" s="33"/>
      <c r="F18" s="34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C13:G17">
    <cfRule type="containsText" dxfId="14" priority="1" operator="containsText" text="Y">
      <formula>NOT(ISERROR(SEARCH(("Y"),(C13))))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Z1002"/>
  <sheetViews>
    <sheetView workbookViewId="0">
      <selection activeCell="W6" sqref="W6"/>
    </sheetView>
  </sheetViews>
  <sheetFormatPr baseColWidth="10" defaultColWidth="11.1640625" defaultRowHeight="15" customHeight="1"/>
  <cols>
    <col min="1" max="1" width="11.83203125" customWidth="1"/>
    <col min="2" max="2" width="8.33203125" customWidth="1"/>
    <col min="3" max="3" width="9.83203125" bestFit="1" customWidth="1"/>
    <col min="4" max="4" width="7.1640625" customWidth="1"/>
    <col min="5" max="5" width="10.5" customWidth="1"/>
    <col min="6" max="6" width="8.1640625" bestFit="1" customWidth="1"/>
    <col min="7" max="7" width="5.1640625" customWidth="1"/>
    <col min="8" max="8" width="4.33203125" customWidth="1"/>
    <col min="9" max="9" width="4.1640625" customWidth="1"/>
    <col min="10" max="10" width="5.33203125" customWidth="1"/>
    <col min="11" max="11" width="6.1640625" customWidth="1"/>
    <col min="12" max="13" width="10.5" customWidth="1"/>
    <col min="14" max="14" width="12.1640625" customWidth="1"/>
    <col min="15" max="26" width="10.5" customWidth="1"/>
  </cols>
  <sheetData>
    <row r="1" spans="1:26" ht="15.75" customHeight="1">
      <c r="A1" s="2" t="s">
        <v>1</v>
      </c>
      <c r="B1" s="4" t="s">
        <v>3</v>
      </c>
      <c r="C1" s="5"/>
      <c r="D1" s="5"/>
      <c r="E1" s="5"/>
      <c r="F1" s="5"/>
    </row>
    <row r="2" spans="1:26" ht="15.75" customHeight="1">
      <c r="A2" s="2" t="s">
        <v>6</v>
      </c>
      <c r="B2" s="8" t="s">
        <v>7</v>
      </c>
      <c r="C2" s="4" t="s">
        <v>9</v>
      </c>
      <c r="D2" s="5"/>
      <c r="E2" s="5"/>
      <c r="F2" s="5"/>
    </row>
    <row r="3" spans="1:26" ht="15.75" customHeight="1">
      <c r="A3" s="2" t="s">
        <v>10</v>
      </c>
      <c r="B3" s="9">
        <v>0.53819444444444442</v>
      </c>
      <c r="C3" s="10">
        <v>43661</v>
      </c>
      <c r="D3" s="5"/>
      <c r="E3" s="5"/>
      <c r="F3" s="5"/>
    </row>
    <row r="4" spans="1:26" ht="15.75" customHeight="1">
      <c r="B4" s="5"/>
      <c r="C4" s="5"/>
      <c r="D4" s="5"/>
      <c r="E4" s="5"/>
      <c r="G4" s="4" t="s">
        <v>15</v>
      </c>
    </row>
    <row r="5" spans="1:26" ht="15.75" customHeight="1">
      <c r="A5" s="12" t="s">
        <v>18</v>
      </c>
      <c r="B5" s="12" t="s">
        <v>19</v>
      </c>
      <c r="C5" s="12" t="s">
        <v>20</v>
      </c>
      <c r="D5" s="12" t="s">
        <v>21</v>
      </c>
      <c r="E5" s="4" t="s">
        <v>22</v>
      </c>
      <c r="G5" s="4" t="s">
        <v>23</v>
      </c>
      <c r="H5" s="14" t="s">
        <v>24</v>
      </c>
      <c r="I5" s="12" t="s">
        <v>25</v>
      </c>
      <c r="J5" s="12" t="s">
        <v>26</v>
      </c>
      <c r="K5" s="12" t="s">
        <v>27</v>
      </c>
      <c r="L5" s="12"/>
      <c r="N5" s="16" t="s">
        <v>28</v>
      </c>
      <c r="V5" s="59" t="s">
        <v>89</v>
      </c>
      <c r="W5" s="59" t="s">
        <v>90</v>
      </c>
      <c r="X5" s="59" t="s">
        <v>91</v>
      </c>
      <c r="Y5" s="59" t="s">
        <v>92</v>
      </c>
    </row>
    <row r="6" spans="1:26" ht="15.75" customHeight="1">
      <c r="A6" s="13">
        <v>1</v>
      </c>
      <c r="B6" s="17">
        <v>3.96</v>
      </c>
      <c r="C6" s="17">
        <v>242</v>
      </c>
      <c r="D6" s="18">
        <f t="shared" ref="D6:D8" si="0">AVERAGE(G6:K6)</f>
        <v>240.5</v>
      </c>
      <c r="E6" s="20">
        <f t="shared" ref="E6:E8" si="1">IF(ABS(D6-C6)&gt;180,360-ABS(D6-C6),D6-C6)</f>
        <v>-1.5</v>
      </c>
      <c r="G6" s="13"/>
      <c r="H6" s="21">
        <v>238</v>
      </c>
      <c r="I6" s="13"/>
      <c r="J6" s="13">
        <f>251-8</f>
        <v>243</v>
      </c>
      <c r="K6" s="13"/>
      <c r="L6" s="13"/>
      <c r="N6" s="15" t="s">
        <v>29</v>
      </c>
      <c r="O6" s="22"/>
      <c r="P6" s="22"/>
      <c r="V6" s="19">
        <f>IF(ISBLANK(A6),"",A6)</f>
        <v>1</v>
      </c>
      <c r="W6" s="21">
        <f>IF(V6="","",IF(ISBLANK(T6),B6,T6))</f>
        <v>3.96</v>
      </c>
      <c r="X6" s="21">
        <f>IF(V6="","",C6)</f>
        <v>242</v>
      </c>
      <c r="Y6" s="60">
        <f>IF(V6="","",D6)</f>
        <v>240.5</v>
      </c>
    </row>
    <row r="7" spans="1:26" ht="15.75" customHeight="1">
      <c r="A7" s="13">
        <v>2</v>
      </c>
      <c r="B7" s="17">
        <v>3.78</v>
      </c>
      <c r="C7" s="17">
        <v>185</v>
      </c>
      <c r="D7" s="18">
        <f t="shared" si="0"/>
        <v>244</v>
      </c>
      <c r="E7" s="20">
        <f t="shared" si="1"/>
        <v>59</v>
      </c>
      <c r="G7" s="13"/>
      <c r="H7" s="21">
        <v>234</v>
      </c>
      <c r="I7" s="13"/>
      <c r="J7" s="13">
        <f>262-8</f>
        <v>254</v>
      </c>
      <c r="K7" s="13"/>
      <c r="L7" s="13"/>
      <c r="N7" s="15" t="s">
        <v>30</v>
      </c>
      <c r="O7" s="23"/>
      <c r="P7" s="23"/>
      <c r="V7" s="19">
        <f>IF(ISBLANK(A7),"",A7)</f>
        <v>2</v>
      </c>
      <c r="W7" s="21">
        <f t="shared" ref="W7:W12" si="2">IF(V7="","",IF(ISBLANK(T7),B7,T7))</f>
        <v>3.78</v>
      </c>
      <c r="X7" s="21">
        <f t="shared" ref="X7:X12" si="3">IF(V7="","",C7)</f>
        <v>185</v>
      </c>
      <c r="Y7" s="19">
        <f t="shared" ref="Y7:Y12" si="4">IF(V7="","",D7)</f>
        <v>244</v>
      </c>
    </row>
    <row r="8" spans="1:26" ht="15.75" customHeight="1">
      <c r="A8" s="13">
        <v>3</v>
      </c>
      <c r="B8" s="17">
        <v>6.78</v>
      </c>
      <c r="C8" s="17">
        <v>34</v>
      </c>
      <c r="D8" s="18">
        <f t="shared" si="0"/>
        <v>234</v>
      </c>
      <c r="E8" s="5">
        <f t="shared" si="1"/>
        <v>160</v>
      </c>
      <c r="G8" s="13"/>
      <c r="H8" s="21">
        <v>238</v>
      </c>
      <c r="I8" s="13"/>
      <c r="J8" s="13">
        <f>230</f>
        <v>230</v>
      </c>
      <c r="K8" s="13"/>
      <c r="L8" s="13"/>
      <c r="N8" s="15" t="s">
        <v>31</v>
      </c>
      <c r="O8" s="23"/>
      <c r="P8" s="23"/>
      <c r="V8" s="19">
        <f>IF(ISBLANK(A8),"",A8)</f>
        <v>3</v>
      </c>
      <c r="W8" s="21">
        <f t="shared" si="2"/>
        <v>6.78</v>
      </c>
      <c r="X8" s="21">
        <f t="shared" si="3"/>
        <v>34</v>
      </c>
      <c r="Y8" s="19">
        <f t="shared" si="4"/>
        <v>234</v>
      </c>
    </row>
    <row r="9" spans="1:26" ht="15.75" customHeight="1">
      <c r="A9" s="13"/>
      <c r="B9" s="13"/>
      <c r="C9" s="13"/>
      <c r="D9" s="25"/>
      <c r="E9" s="5"/>
      <c r="G9" s="13"/>
      <c r="H9" s="26"/>
      <c r="I9" s="13"/>
      <c r="J9" s="13"/>
      <c r="K9" s="13"/>
      <c r="L9" s="13"/>
      <c r="N9" s="15"/>
      <c r="O9" s="23"/>
      <c r="P9" s="23"/>
      <c r="Q9" s="15" t="str">
        <f t="shared" ref="Q9:Q12" si="5">IF(ISBLANK(A9),"",A9)</f>
        <v/>
      </c>
      <c r="R9" s="23"/>
      <c r="V9" s="19" t="str">
        <f t="shared" ref="V9:V12" si="6">IF(ISBLANK(A9),"",A9)</f>
        <v/>
      </c>
      <c r="W9" s="21" t="str">
        <f t="shared" si="2"/>
        <v/>
      </c>
      <c r="X9" s="21" t="str">
        <f t="shared" si="3"/>
        <v/>
      </c>
      <c r="Y9" s="19" t="str">
        <f t="shared" si="4"/>
        <v/>
      </c>
    </row>
    <row r="10" spans="1:26" ht="15.75" customHeight="1">
      <c r="A10" s="13"/>
      <c r="B10" s="13"/>
      <c r="C10" s="13"/>
      <c r="D10" s="25"/>
      <c r="E10" s="5"/>
      <c r="G10" s="13"/>
      <c r="H10" s="26"/>
      <c r="I10" s="13"/>
      <c r="J10" s="13"/>
      <c r="K10" s="13"/>
      <c r="L10" s="13"/>
      <c r="N10" s="15"/>
      <c r="O10" s="23"/>
      <c r="P10" s="23"/>
      <c r="Q10" s="15" t="str">
        <f t="shared" si="5"/>
        <v/>
      </c>
      <c r="R10" s="23"/>
      <c r="V10" s="19" t="str">
        <f t="shared" si="6"/>
        <v/>
      </c>
      <c r="W10" s="21" t="str">
        <f t="shared" si="2"/>
        <v/>
      </c>
      <c r="X10" s="21" t="str">
        <f t="shared" si="3"/>
        <v/>
      </c>
      <c r="Y10" s="19" t="str">
        <f t="shared" si="4"/>
        <v/>
      </c>
    </row>
    <row r="11" spans="1:26" ht="15.75" customHeight="1">
      <c r="A11" s="13"/>
      <c r="B11" s="13"/>
      <c r="C11" s="13"/>
      <c r="D11" s="25"/>
      <c r="E11" s="5"/>
      <c r="G11" s="13"/>
      <c r="H11" s="26"/>
      <c r="I11" s="13"/>
      <c r="J11" s="13"/>
      <c r="K11" s="13"/>
      <c r="L11" s="13"/>
      <c r="N11" s="15"/>
      <c r="O11" s="23"/>
      <c r="P11" s="23"/>
      <c r="Q11" s="15" t="str">
        <f t="shared" si="5"/>
        <v/>
      </c>
      <c r="R11" s="23"/>
      <c r="V11" s="19" t="str">
        <f t="shared" si="6"/>
        <v/>
      </c>
      <c r="W11" s="21" t="str">
        <f t="shared" si="2"/>
        <v/>
      </c>
      <c r="X11" s="21" t="str">
        <f t="shared" si="3"/>
        <v/>
      </c>
      <c r="Y11" s="19" t="str">
        <f t="shared" si="4"/>
        <v/>
      </c>
    </row>
    <row r="12" spans="1:26" ht="15.75" customHeight="1">
      <c r="A12" s="13"/>
      <c r="B12" s="13"/>
      <c r="C12" s="5"/>
      <c r="D12" s="25"/>
      <c r="E12" s="5"/>
      <c r="G12" s="13"/>
      <c r="H12" s="26"/>
      <c r="I12" s="13"/>
      <c r="J12" s="13"/>
      <c r="K12" s="13"/>
      <c r="L12" s="13"/>
      <c r="N12" s="15"/>
      <c r="O12" s="23"/>
      <c r="P12" s="23"/>
      <c r="Q12" s="15" t="str">
        <f t="shared" si="5"/>
        <v/>
      </c>
      <c r="R12" s="23"/>
      <c r="S12" s="2"/>
      <c r="T12" s="2"/>
      <c r="U12" s="2"/>
      <c r="V12" s="19" t="str">
        <f t="shared" si="6"/>
        <v/>
      </c>
      <c r="W12" s="21" t="str">
        <f t="shared" si="2"/>
        <v/>
      </c>
      <c r="X12" s="21" t="str">
        <f t="shared" si="3"/>
        <v/>
      </c>
      <c r="Y12" s="19" t="str">
        <f t="shared" si="4"/>
        <v/>
      </c>
      <c r="Z12" s="2"/>
    </row>
    <row r="13" spans="1:26" ht="15.75" customHeight="1">
      <c r="A13" s="14" t="s">
        <v>32</v>
      </c>
      <c r="B13" s="8">
        <f>SUM(B6:B12)</f>
        <v>14.52</v>
      </c>
      <c r="C13" s="5"/>
      <c r="E13" s="5"/>
      <c r="F13" s="5"/>
      <c r="V13" s="19"/>
      <c r="W13" s="21"/>
      <c r="X13" s="21"/>
      <c r="Y13" s="19"/>
    </row>
    <row r="14" spans="1:26" ht="15.75" customHeight="1">
      <c r="B14" s="5"/>
      <c r="C14" s="5"/>
      <c r="D14" s="5"/>
      <c r="E14" s="5"/>
      <c r="F14" s="5"/>
    </row>
    <row r="15" spans="1:26" ht="15.75" customHeight="1">
      <c r="B15" s="5"/>
      <c r="C15" s="5"/>
      <c r="D15" s="5"/>
      <c r="E15" s="5"/>
      <c r="F15" s="5"/>
    </row>
    <row r="16" spans="1:26" ht="15.75" customHeight="1">
      <c r="B16" s="5"/>
      <c r="C16" s="5"/>
      <c r="D16" s="5"/>
      <c r="E16" s="5"/>
      <c r="F16" s="5"/>
    </row>
    <row r="17" spans="1:25" ht="15.75" customHeight="1">
      <c r="A17" s="2" t="s">
        <v>5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23</v>
      </c>
      <c r="G17" s="14" t="s">
        <v>37</v>
      </c>
      <c r="P17" s="15"/>
      <c r="V17" s="58" t="s">
        <v>93</v>
      </c>
      <c r="W17" s="58"/>
      <c r="X17" s="62">
        <f>C3</f>
        <v>43661</v>
      </c>
      <c r="Y17" s="63">
        <f>B3</f>
        <v>0.53819444444444442</v>
      </c>
    </row>
    <row r="18" spans="1:25" ht="15.75" customHeight="1">
      <c r="A18" s="15" t="s">
        <v>26</v>
      </c>
      <c r="B18" s="30">
        <v>7.8460648148148154E-2</v>
      </c>
      <c r="C18" s="30">
        <v>7.8460648148148154E-2</v>
      </c>
      <c r="D18" s="30">
        <f>C18-C$18</f>
        <v>0</v>
      </c>
      <c r="E18" s="31">
        <v>12.004709999999999</v>
      </c>
      <c r="F18" s="32">
        <v>0.61665509259259255</v>
      </c>
      <c r="G18" s="33">
        <f t="shared" ref="G18:G22" si="7">RANK(E18,E$18:E$23,0)</f>
        <v>1</v>
      </c>
      <c r="J18" s="32"/>
      <c r="K18" s="34"/>
      <c r="L18" s="13"/>
      <c r="M18" s="35"/>
      <c r="P18" s="15"/>
      <c r="V18" s="58" t="s">
        <v>27</v>
      </c>
      <c r="W18" s="58" t="s">
        <v>96</v>
      </c>
      <c r="X18" s="62">
        <f>X$17</f>
        <v>43661</v>
      </c>
      <c r="Y18" s="63">
        <f>VLOOKUP(V18,A$18:F$22,6,0)</f>
        <v>0.61534722222222227</v>
      </c>
    </row>
    <row r="19" spans="1:25" ht="15.75" customHeight="1">
      <c r="A19" s="15" t="s">
        <v>25</v>
      </c>
      <c r="B19" s="30">
        <v>7.604166666666666E-2</v>
      </c>
      <c r="C19" s="30">
        <v>8.2118055555555555E-2</v>
      </c>
      <c r="D19" s="30">
        <f t="shared" ref="D19:D22" si="8">C19-C18</f>
        <v>3.6574074074074009E-3</v>
      </c>
      <c r="E19" s="31">
        <v>11.179209999999999</v>
      </c>
      <c r="F19" s="32">
        <v>0.61423611111111109</v>
      </c>
      <c r="G19" s="33">
        <f t="shared" si="7"/>
        <v>2</v>
      </c>
      <c r="J19" s="32"/>
      <c r="K19" s="34"/>
      <c r="L19" s="13"/>
      <c r="M19" s="35"/>
      <c r="P19" s="15"/>
      <c r="V19" s="58" t="s">
        <v>38</v>
      </c>
      <c r="W19" s="58" t="s">
        <v>98</v>
      </c>
      <c r="X19" s="62">
        <f t="shared" ref="X19:X22" si="9">X$17</f>
        <v>43661</v>
      </c>
      <c r="Y19" s="63">
        <f t="shared" ref="Y19:Y22" si="10">VLOOKUP(V19,A$18:F$22,6,0)</f>
        <v>0.62223379629629627</v>
      </c>
    </row>
    <row r="20" spans="1:25" ht="15.75" customHeight="1">
      <c r="A20" s="15" t="s">
        <v>38</v>
      </c>
      <c r="B20" s="30">
        <v>8.4039351851851851E-2</v>
      </c>
      <c r="C20" s="30">
        <v>8.3726851851851858E-2</v>
      </c>
      <c r="D20" s="30">
        <f t="shared" si="8"/>
        <v>1.6087962962963026E-3</v>
      </c>
      <c r="E20" s="31">
        <v>10.833299999999999</v>
      </c>
      <c r="F20" s="32">
        <v>0.62223379629629627</v>
      </c>
      <c r="G20" s="33">
        <f t="shared" si="7"/>
        <v>3</v>
      </c>
      <c r="J20" s="32"/>
      <c r="K20" s="34"/>
      <c r="L20" s="13"/>
      <c r="M20" s="35"/>
      <c r="P20" s="15"/>
      <c r="V20" s="58" t="s">
        <v>24</v>
      </c>
      <c r="W20" s="58" t="s">
        <v>94</v>
      </c>
      <c r="X20" s="62">
        <f t="shared" si="9"/>
        <v>43661</v>
      </c>
      <c r="Y20" s="63">
        <f t="shared" si="10"/>
        <v>0.61728009259259264</v>
      </c>
    </row>
    <row r="21" spans="1:25" ht="15.75" customHeight="1">
      <c r="A21" s="15" t="s">
        <v>24</v>
      </c>
      <c r="B21" s="30">
        <v>7.9085648148148155E-2</v>
      </c>
      <c r="C21" s="30">
        <v>8.5104166666666661E-2</v>
      </c>
      <c r="D21" s="30">
        <f t="shared" si="8"/>
        <v>1.3773148148148034E-3</v>
      </c>
      <c r="E21" s="31">
        <v>10.566420000000001</v>
      </c>
      <c r="F21" s="32">
        <v>0.61728009259259264</v>
      </c>
      <c r="G21" s="33">
        <f t="shared" si="7"/>
        <v>4</v>
      </c>
      <c r="J21" s="32"/>
      <c r="K21" s="34"/>
      <c r="L21" s="13"/>
      <c r="M21" s="35"/>
      <c r="P21" s="15"/>
      <c r="V21" s="58" t="s">
        <v>25</v>
      </c>
      <c r="W21" s="58" t="s">
        <v>95</v>
      </c>
      <c r="X21" s="62">
        <f t="shared" si="9"/>
        <v>43661</v>
      </c>
      <c r="Y21" s="63">
        <f t="shared" si="10"/>
        <v>0.61423611111111109</v>
      </c>
    </row>
    <row r="22" spans="1:25" ht="15.75" customHeight="1">
      <c r="A22" s="15" t="s">
        <v>27</v>
      </c>
      <c r="B22" s="30">
        <v>7.7152777777777778E-2</v>
      </c>
      <c r="C22" s="30">
        <v>8.6238425925925927E-2</v>
      </c>
      <c r="D22" s="30">
        <f t="shared" si="8"/>
        <v>1.1342592592592654E-3</v>
      </c>
      <c r="E22" s="31">
        <v>10.362869999999999</v>
      </c>
      <c r="F22" s="32">
        <v>0.61534722222222227</v>
      </c>
      <c r="G22" s="33">
        <f t="shared" si="7"/>
        <v>5</v>
      </c>
      <c r="J22" s="32"/>
      <c r="K22" s="34"/>
      <c r="L22" s="13"/>
      <c r="M22" s="35"/>
      <c r="P22" s="15"/>
      <c r="V22" s="58" t="s">
        <v>26</v>
      </c>
      <c r="W22" s="58" t="s">
        <v>97</v>
      </c>
      <c r="X22" s="62">
        <f t="shared" si="9"/>
        <v>43661</v>
      </c>
      <c r="Y22" s="63">
        <f t="shared" si="10"/>
        <v>0.61665509259259255</v>
      </c>
    </row>
    <row r="23" spans="1:25" ht="15.75" customHeight="1">
      <c r="A23" s="15"/>
      <c r="B23" s="30"/>
      <c r="C23" s="30"/>
      <c r="D23" s="13"/>
      <c r="E23" s="13"/>
      <c r="F23" s="32"/>
      <c r="G23" s="36"/>
      <c r="H23" s="33"/>
      <c r="V23" s="58"/>
      <c r="W23" s="58"/>
      <c r="X23" s="62"/>
      <c r="Y23" s="63"/>
    </row>
    <row r="24" spans="1:25" ht="15.75" customHeight="1">
      <c r="A24" s="15"/>
      <c r="B24" s="5"/>
      <c r="C24" s="5"/>
      <c r="D24" s="5"/>
      <c r="E24" s="5"/>
      <c r="F24" s="5"/>
      <c r="V24" s="58"/>
      <c r="W24" s="58"/>
      <c r="X24" s="62"/>
      <c r="Y24" s="63"/>
    </row>
    <row r="25" spans="1:25" ht="15.75" customHeight="1">
      <c r="A25" s="15"/>
      <c r="B25" s="5"/>
      <c r="C25" s="5"/>
      <c r="D25" s="5"/>
      <c r="E25" s="5"/>
      <c r="F25" s="5"/>
    </row>
    <row r="26" spans="1:25" ht="15.75" customHeight="1">
      <c r="B26" s="5"/>
      <c r="C26" s="5"/>
      <c r="D26" s="5"/>
      <c r="E26" s="5"/>
      <c r="F26" s="5"/>
    </row>
    <row r="27" spans="1:25" ht="15.75" customHeight="1">
      <c r="B27" s="5"/>
      <c r="C27" s="5"/>
      <c r="D27" s="5"/>
      <c r="E27" s="5"/>
      <c r="F27" s="5"/>
    </row>
    <row r="28" spans="1:25" ht="15.75" customHeight="1">
      <c r="B28" s="5"/>
      <c r="C28" s="5"/>
      <c r="D28" s="5"/>
      <c r="E28" s="5"/>
      <c r="F28" s="5"/>
    </row>
    <row r="29" spans="1:25" ht="15.75" customHeight="1">
      <c r="B29" s="5"/>
      <c r="C29" s="5"/>
      <c r="D29" s="5"/>
      <c r="E29" s="5"/>
      <c r="F29" s="5"/>
    </row>
    <row r="30" spans="1:25" ht="15.75" customHeight="1">
      <c r="B30" s="5"/>
      <c r="C30" s="5"/>
      <c r="D30" s="5"/>
      <c r="E30" s="5"/>
      <c r="F30" s="5"/>
    </row>
    <row r="31" spans="1:25" ht="15.75" customHeight="1">
      <c r="B31" s="5"/>
      <c r="C31" s="5"/>
      <c r="D31" s="5"/>
      <c r="E31" s="5"/>
      <c r="F31" s="5"/>
    </row>
    <row r="32" spans="1:25" ht="15.75" customHeight="1">
      <c r="B32" s="5"/>
      <c r="C32" s="5"/>
      <c r="D32" s="5"/>
      <c r="E32" s="5"/>
      <c r="F32" s="5"/>
    </row>
    <row r="33" spans="2:6" ht="15.75" customHeight="1">
      <c r="B33" s="5"/>
      <c r="C33" s="5"/>
      <c r="D33" s="5"/>
      <c r="E33" s="5"/>
      <c r="F33" s="5"/>
    </row>
    <row r="34" spans="2:6" ht="15.75" customHeight="1">
      <c r="B34" s="5"/>
      <c r="C34" s="5"/>
      <c r="D34" s="5"/>
      <c r="E34" s="5"/>
      <c r="F34" s="5"/>
    </row>
    <row r="35" spans="2:6" ht="15.75" customHeight="1">
      <c r="B35" s="5"/>
      <c r="C35" s="5"/>
      <c r="D35" s="5"/>
      <c r="E35" s="5"/>
      <c r="F35" s="5"/>
    </row>
    <row r="36" spans="2:6" ht="15.75" customHeight="1">
      <c r="B36" s="5"/>
      <c r="C36" s="5"/>
      <c r="D36" s="5"/>
      <c r="E36" s="5"/>
      <c r="F36" s="5"/>
    </row>
    <row r="37" spans="2:6" ht="15.75" customHeight="1">
      <c r="B37" s="5"/>
      <c r="C37" s="5"/>
      <c r="D37" s="5"/>
      <c r="E37" s="5"/>
      <c r="F37" s="5"/>
    </row>
    <row r="38" spans="2:6" ht="15.75" customHeight="1">
      <c r="B38" s="5"/>
      <c r="C38" s="5"/>
      <c r="D38" s="5"/>
      <c r="E38" s="5"/>
      <c r="F38" s="5"/>
    </row>
    <row r="39" spans="2:6" ht="15.75" customHeight="1">
      <c r="B39" s="5"/>
      <c r="C39" s="5"/>
      <c r="D39" s="5"/>
      <c r="E39" s="5"/>
      <c r="F39" s="5"/>
    </row>
    <row r="40" spans="2:6" ht="15.75" customHeight="1">
      <c r="B40" s="5"/>
      <c r="C40" s="5"/>
      <c r="D40" s="5"/>
      <c r="E40" s="5"/>
      <c r="F40" s="5"/>
    </row>
    <row r="41" spans="2:6" ht="15.75" customHeight="1">
      <c r="B41" s="5"/>
      <c r="C41" s="5"/>
      <c r="D41" s="5"/>
      <c r="E41" s="5"/>
      <c r="F41" s="5"/>
    </row>
    <row r="42" spans="2:6" ht="15.75" customHeight="1">
      <c r="B42" s="5"/>
      <c r="C42" s="5"/>
      <c r="D42" s="5"/>
      <c r="E42" s="5"/>
      <c r="F42" s="5"/>
    </row>
    <row r="43" spans="2:6" ht="15.75" customHeight="1">
      <c r="B43" s="5"/>
      <c r="C43" s="5"/>
      <c r="D43" s="5"/>
      <c r="E43" s="5"/>
      <c r="F43" s="5"/>
    </row>
    <row r="44" spans="2:6" ht="15.75" customHeight="1">
      <c r="B44" s="5"/>
      <c r="C44" s="5"/>
      <c r="D44" s="5"/>
      <c r="E44" s="5"/>
      <c r="F44" s="5"/>
    </row>
    <row r="45" spans="2:6" ht="15.75" customHeight="1">
      <c r="B45" s="5"/>
      <c r="C45" s="5"/>
      <c r="D45" s="5"/>
      <c r="E45" s="5"/>
      <c r="F45" s="5"/>
    </row>
    <row r="46" spans="2:6" ht="15.75" customHeight="1">
      <c r="B46" s="5"/>
      <c r="C46" s="5"/>
      <c r="D46" s="5"/>
      <c r="E46" s="5"/>
      <c r="F46" s="5"/>
    </row>
    <row r="47" spans="2:6" ht="15.75" customHeight="1">
      <c r="B47" s="5"/>
      <c r="C47" s="5"/>
      <c r="D47" s="5"/>
      <c r="E47" s="5"/>
      <c r="F47" s="5"/>
    </row>
    <row r="48" spans="2:6" ht="15.75" customHeight="1">
      <c r="B48" s="5"/>
      <c r="C48" s="5"/>
      <c r="D48" s="5"/>
      <c r="E48" s="5"/>
      <c r="F48" s="5"/>
    </row>
    <row r="49" spans="2:6" ht="15.75" customHeight="1">
      <c r="B49" s="5"/>
      <c r="C49" s="5"/>
      <c r="D49" s="5"/>
      <c r="E49" s="5"/>
      <c r="F49" s="5"/>
    </row>
    <row r="50" spans="2:6" ht="15.75" customHeight="1">
      <c r="B50" s="5"/>
      <c r="C50" s="5"/>
      <c r="D50" s="5"/>
      <c r="E50" s="5"/>
      <c r="F50" s="5"/>
    </row>
    <row r="51" spans="2:6" ht="15.75" customHeight="1">
      <c r="B51" s="5"/>
      <c r="C51" s="5"/>
      <c r="D51" s="5"/>
      <c r="E51" s="5"/>
      <c r="F51" s="5"/>
    </row>
    <row r="52" spans="2:6" ht="15.75" customHeight="1">
      <c r="B52" s="5"/>
      <c r="C52" s="5"/>
      <c r="D52" s="5"/>
      <c r="E52" s="5"/>
      <c r="F52" s="5"/>
    </row>
    <row r="53" spans="2:6" ht="15.75" customHeight="1">
      <c r="B53" s="5"/>
      <c r="C53" s="5"/>
      <c r="D53" s="5"/>
      <c r="E53" s="5"/>
      <c r="F53" s="5"/>
    </row>
    <row r="54" spans="2:6" ht="15.75" customHeight="1">
      <c r="B54" s="5"/>
      <c r="C54" s="5"/>
      <c r="D54" s="5"/>
      <c r="E54" s="5"/>
      <c r="F54" s="5"/>
    </row>
    <row r="55" spans="2:6" ht="15.75" customHeight="1">
      <c r="B55" s="5"/>
      <c r="C55" s="5"/>
      <c r="D55" s="5"/>
      <c r="E55" s="5"/>
      <c r="F55" s="5"/>
    </row>
    <row r="56" spans="2:6" ht="15.75" customHeight="1">
      <c r="B56" s="5"/>
      <c r="C56" s="5"/>
      <c r="D56" s="5"/>
      <c r="E56" s="5"/>
      <c r="F56" s="5"/>
    </row>
    <row r="57" spans="2:6" ht="15.75" customHeight="1">
      <c r="B57" s="5"/>
      <c r="C57" s="5"/>
      <c r="D57" s="5"/>
      <c r="E57" s="5"/>
      <c r="F57" s="5"/>
    </row>
    <row r="58" spans="2:6" ht="15.75" customHeight="1">
      <c r="B58" s="5"/>
      <c r="C58" s="5"/>
      <c r="D58" s="5"/>
      <c r="E58" s="5"/>
      <c r="F58" s="5"/>
    </row>
    <row r="59" spans="2:6" ht="15.75" customHeight="1">
      <c r="B59" s="5"/>
      <c r="C59" s="5"/>
      <c r="D59" s="5"/>
      <c r="E59" s="5"/>
      <c r="F59" s="5"/>
    </row>
    <row r="60" spans="2:6" ht="15.75" customHeight="1">
      <c r="B60" s="5"/>
      <c r="C60" s="5"/>
      <c r="D60" s="5"/>
      <c r="E60" s="5"/>
      <c r="F60" s="5"/>
    </row>
    <row r="61" spans="2:6" ht="15.75" customHeight="1">
      <c r="B61" s="5"/>
      <c r="C61" s="5"/>
      <c r="D61" s="5"/>
      <c r="E61" s="5"/>
      <c r="F61" s="5"/>
    </row>
    <row r="62" spans="2:6" ht="15.75" customHeight="1">
      <c r="B62" s="5"/>
      <c r="C62" s="5"/>
      <c r="D62" s="5"/>
      <c r="E62" s="5"/>
      <c r="F62" s="5"/>
    </row>
    <row r="63" spans="2:6" ht="15.75" customHeight="1">
      <c r="B63" s="5"/>
      <c r="C63" s="5"/>
      <c r="D63" s="5"/>
      <c r="E63" s="5"/>
      <c r="F63" s="5"/>
    </row>
    <row r="64" spans="2:6" ht="15.75" customHeight="1">
      <c r="B64" s="5"/>
      <c r="C64" s="5"/>
      <c r="D64" s="5"/>
      <c r="E64" s="5"/>
      <c r="F64" s="5"/>
    </row>
    <row r="65" spans="2:6" ht="15.75" customHeight="1">
      <c r="B65" s="5"/>
      <c r="C65" s="5"/>
      <c r="D65" s="5"/>
      <c r="E65" s="5"/>
      <c r="F65" s="5"/>
    </row>
    <row r="66" spans="2:6" ht="15.75" customHeight="1">
      <c r="B66" s="5"/>
      <c r="C66" s="5"/>
      <c r="D66" s="5"/>
      <c r="E66" s="5"/>
      <c r="F66" s="5"/>
    </row>
    <row r="67" spans="2:6" ht="15.75" customHeight="1">
      <c r="B67" s="5"/>
      <c r="C67" s="5"/>
      <c r="D67" s="5"/>
      <c r="E67" s="5"/>
      <c r="F67" s="5"/>
    </row>
    <row r="68" spans="2:6" ht="15.75" customHeight="1">
      <c r="B68" s="5"/>
      <c r="C68" s="5"/>
      <c r="D68" s="5"/>
      <c r="E68" s="5"/>
      <c r="F68" s="5"/>
    </row>
    <row r="69" spans="2:6" ht="15.75" customHeight="1">
      <c r="B69" s="5"/>
      <c r="C69" s="5"/>
      <c r="D69" s="5"/>
      <c r="E69" s="5"/>
      <c r="F69" s="5"/>
    </row>
    <row r="70" spans="2:6" ht="15.75" customHeight="1">
      <c r="B70" s="5"/>
      <c r="C70" s="5"/>
      <c r="D70" s="5"/>
      <c r="E70" s="5"/>
      <c r="F70" s="5"/>
    </row>
    <row r="71" spans="2:6" ht="15.75" customHeight="1">
      <c r="B71" s="5"/>
      <c r="C71" s="5"/>
      <c r="D71" s="5"/>
      <c r="E71" s="5"/>
      <c r="F71" s="5"/>
    </row>
    <row r="72" spans="2:6" ht="15.75" customHeight="1">
      <c r="B72" s="5"/>
      <c r="C72" s="5"/>
      <c r="D72" s="5"/>
      <c r="E72" s="5"/>
      <c r="F72" s="5"/>
    </row>
    <row r="73" spans="2:6" ht="15.75" customHeight="1">
      <c r="B73" s="5"/>
      <c r="C73" s="5"/>
      <c r="D73" s="5"/>
      <c r="E73" s="5"/>
      <c r="F73" s="5"/>
    </row>
    <row r="74" spans="2:6" ht="15.75" customHeight="1">
      <c r="B74" s="5"/>
      <c r="C74" s="5"/>
      <c r="D74" s="5"/>
      <c r="E74" s="5"/>
      <c r="F74" s="5"/>
    </row>
    <row r="75" spans="2:6" ht="15.75" customHeight="1">
      <c r="B75" s="5"/>
      <c r="C75" s="5"/>
      <c r="D75" s="5"/>
      <c r="E75" s="5"/>
      <c r="F75" s="5"/>
    </row>
    <row r="76" spans="2:6" ht="15.75" customHeight="1">
      <c r="B76" s="5"/>
      <c r="C76" s="5"/>
      <c r="D76" s="5"/>
      <c r="E76" s="5"/>
      <c r="F76" s="5"/>
    </row>
    <row r="77" spans="2:6" ht="15.75" customHeight="1">
      <c r="B77" s="5"/>
      <c r="C77" s="5"/>
      <c r="D77" s="5"/>
      <c r="E77" s="5"/>
      <c r="F77" s="5"/>
    </row>
    <row r="78" spans="2:6" ht="15.75" customHeight="1">
      <c r="B78" s="5"/>
      <c r="C78" s="5"/>
      <c r="D78" s="5"/>
      <c r="E78" s="5"/>
      <c r="F78" s="5"/>
    </row>
    <row r="79" spans="2:6" ht="15.75" customHeight="1">
      <c r="B79" s="5"/>
      <c r="C79" s="5"/>
      <c r="D79" s="5"/>
      <c r="E79" s="5"/>
      <c r="F79" s="5"/>
    </row>
    <row r="80" spans="2:6" ht="15.75" customHeight="1">
      <c r="B80" s="5"/>
      <c r="C80" s="5"/>
      <c r="D80" s="5"/>
      <c r="E80" s="5"/>
      <c r="F80" s="5"/>
    </row>
    <row r="81" spans="2:6" ht="15.75" customHeight="1">
      <c r="B81" s="5"/>
      <c r="C81" s="5"/>
      <c r="D81" s="5"/>
      <c r="E81" s="5"/>
      <c r="F81" s="5"/>
    </row>
    <row r="82" spans="2:6" ht="15.75" customHeight="1">
      <c r="B82" s="5"/>
      <c r="C82" s="5"/>
      <c r="D82" s="5"/>
      <c r="E82" s="5"/>
      <c r="F82" s="5"/>
    </row>
    <row r="83" spans="2:6" ht="15.75" customHeight="1">
      <c r="B83" s="5"/>
      <c r="C83" s="5"/>
      <c r="D83" s="5"/>
      <c r="E83" s="5"/>
      <c r="F83" s="5"/>
    </row>
    <row r="84" spans="2:6" ht="15.75" customHeight="1">
      <c r="B84" s="5"/>
      <c r="C84" s="5"/>
      <c r="D84" s="5"/>
      <c r="E84" s="5"/>
      <c r="F84" s="5"/>
    </row>
    <row r="85" spans="2:6" ht="15.75" customHeight="1">
      <c r="B85" s="5"/>
      <c r="C85" s="5"/>
      <c r="D85" s="5"/>
      <c r="E85" s="5"/>
      <c r="F85" s="5"/>
    </row>
    <row r="86" spans="2:6" ht="15.75" customHeight="1">
      <c r="B86" s="5"/>
      <c r="C86" s="5"/>
      <c r="D86" s="5"/>
      <c r="E86" s="5"/>
      <c r="F86" s="5"/>
    </row>
    <row r="87" spans="2:6" ht="15.75" customHeight="1">
      <c r="B87" s="5"/>
      <c r="C87" s="5"/>
      <c r="D87" s="5"/>
      <c r="E87" s="5"/>
      <c r="F87" s="5"/>
    </row>
    <row r="88" spans="2:6" ht="15.75" customHeight="1">
      <c r="B88" s="5"/>
      <c r="C88" s="5"/>
      <c r="D88" s="5"/>
      <c r="E88" s="5"/>
      <c r="F88" s="5"/>
    </row>
    <row r="89" spans="2:6" ht="15.75" customHeight="1">
      <c r="B89" s="5"/>
      <c r="C89" s="5"/>
      <c r="D89" s="5"/>
      <c r="E89" s="5"/>
      <c r="F89" s="5"/>
    </row>
    <row r="90" spans="2:6" ht="15.75" customHeight="1">
      <c r="B90" s="5"/>
      <c r="C90" s="5"/>
      <c r="D90" s="5"/>
      <c r="E90" s="5"/>
      <c r="F90" s="5"/>
    </row>
    <row r="91" spans="2:6" ht="15.75" customHeight="1">
      <c r="B91" s="5"/>
      <c r="C91" s="5"/>
      <c r="D91" s="5"/>
      <c r="E91" s="5"/>
      <c r="F91" s="5"/>
    </row>
    <row r="92" spans="2:6" ht="15.75" customHeight="1">
      <c r="B92" s="5"/>
      <c r="C92" s="5"/>
      <c r="D92" s="5"/>
      <c r="E92" s="5"/>
      <c r="F92" s="5"/>
    </row>
    <row r="93" spans="2:6" ht="15.75" customHeight="1">
      <c r="B93" s="5"/>
      <c r="C93" s="5"/>
      <c r="D93" s="5"/>
      <c r="E93" s="5"/>
      <c r="F93" s="5"/>
    </row>
    <row r="94" spans="2:6" ht="15.75" customHeight="1">
      <c r="B94" s="5"/>
      <c r="C94" s="5"/>
      <c r="D94" s="5"/>
      <c r="E94" s="5"/>
      <c r="F94" s="5"/>
    </row>
    <row r="95" spans="2:6" ht="15.75" customHeight="1">
      <c r="B95" s="5"/>
      <c r="C95" s="5"/>
      <c r="D95" s="5"/>
      <c r="E95" s="5"/>
      <c r="F95" s="5"/>
    </row>
    <row r="96" spans="2:6" ht="15.75" customHeight="1">
      <c r="B96" s="5"/>
      <c r="C96" s="5"/>
      <c r="D96" s="5"/>
      <c r="E96" s="5"/>
      <c r="F96" s="5"/>
    </row>
    <row r="97" spans="2:6" ht="15.75" customHeight="1">
      <c r="B97" s="5"/>
      <c r="C97" s="5"/>
      <c r="D97" s="5"/>
      <c r="E97" s="5"/>
      <c r="F97" s="5"/>
    </row>
    <row r="98" spans="2:6" ht="15.75" customHeight="1">
      <c r="B98" s="5"/>
      <c r="C98" s="5"/>
      <c r="D98" s="5"/>
      <c r="E98" s="5"/>
      <c r="F98" s="5"/>
    </row>
    <row r="99" spans="2:6" ht="15.75" customHeight="1">
      <c r="B99" s="5"/>
      <c r="C99" s="5"/>
      <c r="D99" s="5"/>
      <c r="E99" s="5"/>
      <c r="F99" s="5"/>
    </row>
    <row r="100" spans="2:6" ht="15.75" customHeight="1">
      <c r="B100" s="5"/>
      <c r="C100" s="5"/>
      <c r="D100" s="5"/>
      <c r="E100" s="5"/>
      <c r="F100" s="5"/>
    </row>
    <row r="101" spans="2:6" ht="15.75" customHeight="1">
      <c r="B101" s="5"/>
      <c r="C101" s="5"/>
      <c r="D101" s="5"/>
      <c r="E101" s="5"/>
      <c r="F101" s="5"/>
    </row>
    <row r="102" spans="2:6" ht="15.75" customHeight="1">
      <c r="B102" s="5"/>
      <c r="C102" s="5"/>
      <c r="D102" s="5"/>
      <c r="E102" s="5"/>
      <c r="F102" s="5"/>
    </row>
    <row r="103" spans="2:6" ht="15.75" customHeight="1">
      <c r="B103" s="5"/>
      <c r="C103" s="5"/>
      <c r="D103" s="5"/>
      <c r="E103" s="5"/>
      <c r="F103" s="5"/>
    </row>
    <row r="104" spans="2:6" ht="15.75" customHeight="1">
      <c r="B104" s="5"/>
      <c r="C104" s="5"/>
      <c r="D104" s="5"/>
      <c r="E104" s="5"/>
      <c r="F104" s="5"/>
    </row>
    <row r="105" spans="2:6" ht="15.75" customHeight="1">
      <c r="B105" s="5"/>
      <c r="C105" s="5"/>
      <c r="D105" s="5"/>
      <c r="E105" s="5"/>
      <c r="F105" s="5"/>
    </row>
    <row r="106" spans="2:6" ht="15.75" customHeight="1">
      <c r="B106" s="5"/>
      <c r="C106" s="5"/>
      <c r="D106" s="5"/>
      <c r="E106" s="5"/>
      <c r="F106" s="5"/>
    </row>
    <row r="107" spans="2:6" ht="15.75" customHeight="1">
      <c r="B107" s="5"/>
      <c r="C107" s="5"/>
      <c r="D107" s="5"/>
      <c r="E107" s="5"/>
      <c r="F107" s="5"/>
    </row>
    <row r="108" spans="2:6" ht="15.75" customHeight="1">
      <c r="B108" s="5"/>
      <c r="C108" s="5"/>
      <c r="D108" s="5"/>
      <c r="E108" s="5"/>
      <c r="F108" s="5"/>
    </row>
    <row r="109" spans="2:6" ht="15.75" customHeight="1">
      <c r="B109" s="5"/>
      <c r="C109" s="5"/>
      <c r="D109" s="5"/>
      <c r="E109" s="5"/>
      <c r="F109" s="5"/>
    </row>
    <row r="110" spans="2:6" ht="15.75" customHeight="1">
      <c r="B110" s="5"/>
      <c r="C110" s="5"/>
      <c r="D110" s="5"/>
      <c r="E110" s="5"/>
      <c r="F110" s="5"/>
    </row>
    <row r="111" spans="2:6" ht="15.75" customHeight="1">
      <c r="B111" s="5"/>
      <c r="C111" s="5"/>
      <c r="D111" s="5"/>
      <c r="E111" s="5"/>
      <c r="F111" s="5"/>
    </row>
    <row r="112" spans="2:6" ht="15.75" customHeight="1">
      <c r="B112" s="5"/>
      <c r="C112" s="5"/>
      <c r="D112" s="5"/>
      <c r="E112" s="5"/>
      <c r="F112" s="5"/>
    </row>
    <row r="113" spans="2:6" ht="15.75" customHeight="1">
      <c r="B113" s="5"/>
      <c r="C113" s="5"/>
      <c r="D113" s="5"/>
      <c r="E113" s="5"/>
      <c r="F113" s="5"/>
    </row>
    <row r="114" spans="2:6" ht="15.75" customHeight="1">
      <c r="B114" s="5"/>
      <c r="C114" s="5"/>
      <c r="D114" s="5"/>
      <c r="E114" s="5"/>
      <c r="F114" s="5"/>
    </row>
    <row r="115" spans="2:6" ht="15.75" customHeight="1">
      <c r="B115" s="5"/>
      <c r="C115" s="5"/>
      <c r="D115" s="5"/>
      <c r="E115" s="5"/>
      <c r="F115" s="5"/>
    </row>
    <row r="116" spans="2:6" ht="15.75" customHeight="1">
      <c r="B116" s="5"/>
      <c r="C116" s="5"/>
      <c r="D116" s="5"/>
      <c r="E116" s="5"/>
      <c r="F116" s="5"/>
    </row>
    <row r="117" spans="2:6" ht="15.75" customHeight="1">
      <c r="B117" s="5"/>
      <c r="C117" s="5"/>
      <c r="D117" s="5"/>
      <c r="E117" s="5"/>
      <c r="F117" s="5"/>
    </row>
    <row r="118" spans="2:6" ht="15.75" customHeight="1">
      <c r="B118" s="5"/>
      <c r="C118" s="5"/>
      <c r="D118" s="5"/>
      <c r="E118" s="5"/>
      <c r="F118" s="5"/>
    </row>
    <row r="119" spans="2:6" ht="15.75" customHeight="1">
      <c r="B119" s="5"/>
      <c r="C119" s="5"/>
      <c r="D119" s="5"/>
      <c r="E119" s="5"/>
      <c r="F119" s="5"/>
    </row>
    <row r="120" spans="2:6" ht="15.75" customHeight="1">
      <c r="B120" s="5"/>
      <c r="C120" s="5"/>
      <c r="D120" s="5"/>
      <c r="E120" s="5"/>
      <c r="F120" s="5"/>
    </row>
    <row r="121" spans="2:6" ht="15.75" customHeight="1">
      <c r="B121" s="5"/>
      <c r="C121" s="5"/>
      <c r="D121" s="5"/>
      <c r="E121" s="5"/>
      <c r="F121" s="5"/>
    </row>
    <row r="122" spans="2:6" ht="15.75" customHeight="1">
      <c r="B122" s="5"/>
      <c r="C122" s="5"/>
      <c r="D122" s="5"/>
      <c r="E122" s="5"/>
      <c r="F122" s="5"/>
    </row>
    <row r="123" spans="2:6" ht="15.75" customHeight="1">
      <c r="B123" s="5"/>
      <c r="C123" s="5"/>
      <c r="D123" s="5"/>
      <c r="E123" s="5"/>
      <c r="F123" s="5"/>
    </row>
    <row r="124" spans="2:6" ht="15.75" customHeight="1">
      <c r="B124" s="5"/>
      <c r="C124" s="5"/>
      <c r="D124" s="5"/>
      <c r="E124" s="5"/>
      <c r="F124" s="5"/>
    </row>
    <row r="125" spans="2:6" ht="15.75" customHeight="1">
      <c r="B125" s="5"/>
      <c r="C125" s="5"/>
      <c r="D125" s="5"/>
      <c r="E125" s="5"/>
      <c r="F125" s="5"/>
    </row>
    <row r="126" spans="2:6" ht="15.75" customHeight="1">
      <c r="B126" s="5"/>
      <c r="C126" s="5"/>
      <c r="D126" s="5"/>
      <c r="E126" s="5"/>
      <c r="F126" s="5"/>
    </row>
    <row r="127" spans="2:6" ht="15.75" customHeight="1">
      <c r="B127" s="5"/>
      <c r="C127" s="5"/>
      <c r="D127" s="5"/>
      <c r="E127" s="5"/>
      <c r="F127" s="5"/>
    </row>
    <row r="128" spans="2:6" ht="15.75" customHeight="1">
      <c r="B128" s="5"/>
      <c r="C128" s="5"/>
      <c r="D128" s="5"/>
      <c r="E128" s="5"/>
      <c r="F128" s="5"/>
    </row>
    <row r="129" spans="2:6" ht="15.75" customHeight="1">
      <c r="B129" s="5"/>
      <c r="C129" s="5"/>
      <c r="D129" s="5"/>
      <c r="E129" s="5"/>
      <c r="F129" s="5"/>
    </row>
    <row r="130" spans="2:6" ht="15.75" customHeight="1">
      <c r="B130" s="5"/>
      <c r="C130" s="5"/>
      <c r="D130" s="5"/>
      <c r="E130" s="5"/>
      <c r="F130" s="5"/>
    </row>
    <row r="131" spans="2:6" ht="15.75" customHeight="1">
      <c r="B131" s="5"/>
      <c r="C131" s="5"/>
      <c r="D131" s="5"/>
      <c r="E131" s="5"/>
      <c r="F131" s="5"/>
    </row>
    <row r="132" spans="2:6" ht="15.75" customHeight="1">
      <c r="B132" s="5"/>
      <c r="C132" s="5"/>
      <c r="D132" s="5"/>
      <c r="E132" s="5"/>
      <c r="F132" s="5"/>
    </row>
    <row r="133" spans="2:6" ht="15.75" customHeight="1">
      <c r="B133" s="5"/>
      <c r="C133" s="5"/>
      <c r="D133" s="5"/>
      <c r="E133" s="5"/>
      <c r="F133" s="5"/>
    </row>
    <row r="134" spans="2:6" ht="15.75" customHeight="1">
      <c r="B134" s="5"/>
      <c r="C134" s="5"/>
      <c r="D134" s="5"/>
      <c r="E134" s="5"/>
      <c r="F134" s="5"/>
    </row>
    <row r="135" spans="2:6" ht="15.75" customHeight="1">
      <c r="B135" s="5"/>
      <c r="C135" s="5"/>
      <c r="D135" s="5"/>
      <c r="E135" s="5"/>
      <c r="F135" s="5"/>
    </row>
    <row r="136" spans="2:6" ht="15.75" customHeight="1">
      <c r="B136" s="5"/>
      <c r="C136" s="5"/>
      <c r="D136" s="5"/>
      <c r="E136" s="5"/>
      <c r="F136" s="5"/>
    </row>
    <row r="137" spans="2:6" ht="15.75" customHeight="1">
      <c r="B137" s="5"/>
      <c r="C137" s="5"/>
      <c r="D137" s="5"/>
      <c r="E137" s="5"/>
      <c r="F137" s="5"/>
    </row>
    <row r="138" spans="2:6" ht="15.75" customHeight="1">
      <c r="B138" s="5"/>
      <c r="C138" s="5"/>
      <c r="D138" s="5"/>
      <c r="E138" s="5"/>
      <c r="F138" s="5"/>
    </row>
    <row r="139" spans="2:6" ht="15.75" customHeight="1">
      <c r="B139" s="5"/>
      <c r="C139" s="5"/>
      <c r="D139" s="5"/>
      <c r="E139" s="5"/>
      <c r="F139" s="5"/>
    </row>
    <row r="140" spans="2:6" ht="15.75" customHeight="1">
      <c r="B140" s="5"/>
      <c r="C140" s="5"/>
      <c r="D140" s="5"/>
      <c r="E140" s="5"/>
      <c r="F140" s="5"/>
    </row>
    <row r="141" spans="2:6" ht="15.75" customHeight="1">
      <c r="B141" s="5"/>
      <c r="C141" s="5"/>
      <c r="D141" s="5"/>
      <c r="E141" s="5"/>
      <c r="F141" s="5"/>
    </row>
    <row r="142" spans="2:6" ht="15.75" customHeight="1">
      <c r="B142" s="5"/>
      <c r="C142" s="5"/>
      <c r="D142" s="5"/>
      <c r="E142" s="5"/>
      <c r="F142" s="5"/>
    </row>
    <row r="143" spans="2:6" ht="15.75" customHeight="1">
      <c r="B143" s="5"/>
      <c r="C143" s="5"/>
      <c r="D143" s="5"/>
      <c r="E143" s="5"/>
      <c r="F143" s="5"/>
    </row>
    <row r="144" spans="2:6" ht="15.75" customHeight="1">
      <c r="B144" s="5"/>
      <c r="C144" s="5"/>
      <c r="D144" s="5"/>
      <c r="E144" s="5"/>
      <c r="F144" s="5"/>
    </row>
    <row r="145" spans="2:6" ht="15.75" customHeight="1">
      <c r="B145" s="5"/>
      <c r="C145" s="5"/>
      <c r="D145" s="5"/>
      <c r="E145" s="5"/>
      <c r="F145" s="5"/>
    </row>
    <row r="146" spans="2:6" ht="15.75" customHeight="1">
      <c r="B146" s="5"/>
      <c r="C146" s="5"/>
      <c r="D146" s="5"/>
      <c r="E146" s="5"/>
      <c r="F146" s="5"/>
    </row>
    <row r="147" spans="2:6" ht="15.75" customHeight="1">
      <c r="B147" s="5"/>
      <c r="C147" s="5"/>
      <c r="D147" s="5"/>
      <c r="E147" s="5"/>
      <c r="F147" s="5"/>
    </row>
    <row r="148" spans="2:6" ht="15.75" customHeight="1">
      <c r="B148" s="5"/>
      <c r="C148" s="5"/>
      <c r="D148" s="5"/>
      <c r="E148" s="5"/>
      <c r="F148" s="5"/>
    </row>
    <row r="149" spans="2:6" ht="15.75" customHeight="1">
      <c r="B149" s="5"/>
      <c r="C149" s="5"/>
      <c r="D149" s="5"/>
      <c r="E149" s="5"/>
      <c r="F149" s="5"/>
    </row>
    <row r="150" spans="2:6" ht="15.75" customHeight="1">
      <c r="B150" s="5"/>
      <c r="C150" s="5"/>
      <c r="D150" s="5"/>
      <c r="E150" s="5"/>
      <c r="F150" s="5"/>
    </row>
    <row r="151" spans="2:6" ht="15.75" customHeight="1">
      <c r="B151" s="5"/>
      <c r="C151" s="5"/>
      <c r="D151" s="5"/>
      <c r="E151" s="5"/>
      <c r="F151" s="5"/>
    </row>
    <row r="152" spans="2:6" ht="15.75" customHeight="1">
      <c r="B152" s="5"/>
      <c r="C152" s="5"/>
      <c r="D152" s="5"/>
      <c r="E152" s="5"/>
      <c r="F152" s="5"/>
    </row>
    <row r="153" spans="2:6" ht="15.75" customHeight="1">
      <c r="B153" s="5"/>
      <c r="C153" s="5"/>
      <c r="D153" s="5"/>
      <c r="E153" s="5"/>
      <c r="F153" s="5"/>
    </row>
    <row r="154" spans="2:6" ht="15.75" customHeight="1">
      <c r="B154" s="5"/>
      <c r="C154" s="5"/>
      <c r="D154" s="5"/>
      <c r="E154" s="5"/>
      <c r="F154" s="5"/>
    </row>
    <row r="155" spans="2:6" ht="15.75" customHeight="1">
      <c r="B155" s="5"/>
      <c r="C155" s="5"/>
      <c r="D155" s="5"/>
      <c r="E155" s="5"/>
      <c r="F155" s="5"/>
    </row>
    <row r="156" spans="2:6" ht="15.75" customHeight="1">
      <c r="B156" s="5"/>
      <c r="C156" s="5"/>
      <c r="D156" s="5"/>
      <c r="E156" s="5"/>
      <c r="F156" s="5"/>
    </row>
    <row r="157" spans="2:6" ht="15.75" customHeight="1">
      <c r="B157" s="5"/>
      <c r="C157" s="5"/>
      <c r="D157" s="5"/>
      <c r="E157" s="5"/>
      <c r="F157" s="5"/>
    </row>
    <row r="158" spans="2:6" ht="15.75" customHeight="1">
      <c r="B158" s="5"/>
      <c r="C158" s="5"/>
      <c r="D158" s="5"/>
      <c r="E158" s="5"/>
      <c r="F158" s="5"/>
    </row>
    <row r="159" spans="2:6" ht="15.75" customHeight="1">
      <c r="B159" s="5"/>
      <c r="C159" s="5"/>
      <c r="D159" s="5"/>
      <c r="E159" s="5"/>
      <c r="F159" s="5"/>
    </row>
    <row r="160" spans="2:6" ht="15.75" customHeight="1">
      <c r="B160" s="5"/>
      <c r="C160" s="5"/>
      <c r="D160" s="5"/>
      <c r="E160" s="5"/>
      <c r="F160" s="5"/>
    </row>
    <row r="161" spans="2:6" ht="15.75" customHeight="1">
      <c r="B161" s="5"/>
      <c r="C161" s="5"/>
      <c r="D161" s="5"/>
      <c r="E161" s="5"/>
      <c r="F161" s="5"/>
    </row>
    <row r="162" spans="2:6" ht="15.75" customHeight="1">
      <c r="B162" s="5"/>
      <c r="C162" s="5"/>
      <c r="D162" s="5"/>
      <c r="E162" s="5"/>
      <c r="F162" s="5"/>
    </row>
    <row r="163" spans="2:6" ht="15.75" customHeight="1">
      <c r="B163" s="5"/>
      <c r="C163" s="5"/>
      <c r="D163" s="5"/>
      <c r="E163" s="5"/>
      <c r="F163" s="5"/>
    </row>
    <row r="164" spans="2:6" ht="15.75" customHeight="1">
      <c r="B164" s="5"/>
      <c r="C164" s="5"/>
      <c r="D164" s="5"/>
      <c r="E164" s="5"/>
      <c r="F164" s="5"/>
    </row>
    <row r="165" spans="2:6" ht="15.75" customHeight="1">
      <c r="B165" s="5"/>
      <c r="C165" s="5"/>
      <c r="D165" s="5"/>
      <c r="E165" s="5"/>
      <c r="F165" s="5"/>
    </row>
    <row r="166" spans="2:6" ht="15.75" customHeight="1">
      <c r="B166" s="5"/>
      <c r="C166" s="5"/>
      <c r="D166" s="5"/>
      <c r="E166" s="5"/>
      <c r="F166" s="5"/>
    </row>
    <row r="167" spans="2:6" ht="15.75" customHeight="1">
      <c r="B167" s="5"/>
      <c r="C167" s="5"/>
      <c r="D167" s="5"/>
      <c r="E167" s="5"/>
      <c r="F167" s="5"/>
    </row>
    <row r="168" spans="2:6" ht="15.75" customHeight="1">
      <c r="B168" s="5"/>
      <c r="C168" s="5"/>
      <c r="D168" s="5"/>
      <c r="E168" s="5"/>
      <c r="F168" s="5"/>
    </row>
    <row r="169" spans="2:6" ht="15.75" customHeight="1">
      <c r="B169" s="5"/>
      <c r="C169" s="5"/>
      <c r="D169" s="5"/>
      <c r="E169" s="5"/>
      <c r="F169" s="5"/>
    </row>
    <row r="170" spans="2:6" ht="15.75" customHeight="1">
      <c r="B170" s="5"/>
      <c r="C170" s="5"/>
      <c r="D170" s="5"/>
      <c r="E170" s="5"/>
      <c r="F170" s="5"/>
    </row>
    <row r="171" spans="2:6" ht="15.75" customHeight="1">
      <c r="B171" s="5"/>
      <c r="C171" s="5"/>
      <c r="D171" s="5"/>
      <c r="E171" s="5"/>
      <c r="F171" s="5"/>
    </row>
    <row r="172" spans="2:6" ht="15.75" customHeight="1">
      <c r="B172" s="5"/>
      <c r="C172" s="5"/>
      <c r="D172" s="5"/>
      <c r="E172" s="5"/>
      <c r="F172" s="5"/>
    </row>
    <row r="173" spans="2:6" ht="15.75" customHeight="1">
      <c r="B173" s="5"/>
      <c r="C173" s="5"/>
      <c r="D173" s="5"/>
      <c r="E173" s="5"/>
      <c r="F173" s="5"/>
    </row>
    <row r="174" spans="2:6" ht="15.75" customHeight="1">
      <c r="B174" s="5"/>
      <c r="C174" s="5"/>
      <c r="D174" s="5"/>
      <c r="E174" s="5"/>
      <c r="F174" s="5"/>
    </row>
    <row r="175" spans="2:6" ht="15.75" customHeight="1">
      <c r="B175" s="5"/>
      <c r="C175" s="5"/>
      <c r="D175" s="5"/>
      <c r="E175" s="5"/>
      <c r="F175" s="5"/>
    </row>
    <row r="176" spans="2:6" ht="15.75" customHeight="1">
      <c r="B176" s="5"/>
      <c r="C176" s="5"/>
      <c r="D176" s="5"/>
      <c r="E176" s="5"/>
      <c r="F176" s="5"/>
    </row>
    <row r="177" spans="2:6" ht="15.75" customHeight="1">
      <c r="B177" s="5"/>
      <c r="C177" s="5"/>
      <c r="D177" s="5"/>
      <c r="E177" s="5"/>
      <c r="F177" s="5"/>
    </row>
    <row r="178" spans="2:6" ht="15.75" customHeight="1">
      <c r="B178" s="5"/>
      <c r="C178" s="5"/>
      <c r="D178" s="5"/>
      <c r="E178" s="5"/>
      <c r="F178" s="5"/>
    </row>
    <row r="179" spans="2:6" ht="15.75" customHeight="1">
      <c r="B179" s="5"/>
      <c r="C179" s="5"/>
      <c r="D179" s="5"/>
      <c r="E179" s="5"/>
      <c r="F179" s="5"/>
    </row>
    <row r="180" spans="2:6" ht="15.75" customHeight="1">
      <c r="B180" s="5"/>
      <c r="C180" s="5"/>
      <c r="D180" s="5"/>
      <c r="E180" s="5"/>
      <c r="F180" s="5"/>
    </row>
    <row r="181" spans="2:6" ht="15.75" customHeight="1">
      <c r="B181" s="5"/>
      <c r="C181" s="5"/>
      <c r="D181" s="5"/>
      <c r="E181" s="5"/>
      <c r="F181" s="5"/>
    </row>
    <row r="182" spans="2:6" ht="15.75" customHeight="1">
      <c r="B182" s="5"/>
      <c r="C182" s="5"/>
      <c r="D182" s="5"/>
      <c r="E182" s="5"/>
      <c r="F182" s="5"/>
    </row>
    <row r="183" spans="2:6" ht="15.75" customHeight="1">
      <c r="B183" s="5"/>
      <c r="C183" s="5"/>
      <c r="D183" s="5"/>
      <c r="E183" s="5"/>
      <c r="F183" s="5"/>
    </row>
    <row r="184" spans="2:6" ht="15.75" customHeight="1">
      <c r="B184" s="5"/>
      <c r="C184" s="5"/>
      <c r="D184" s="5"/>
      <c r="E184" s="5"/>
      <c r="F184" s="5"/>
    </row>
    <row r="185" spans="2:6" ht="15.75" customHeight="1">
      <c r="B185" s="5"/>
      <c r="C185" s="5"/>
      <c r="D185" s="5"/>
      <c r="E185" s="5"/>
      <c r="F185" s="5"/>
    </row>
    <row r="186" spans="2:6" ht="15.75" customHeight="1">
      <c r="B186" s="5"/>
      <c r="C186" s="5"/>
      <c r="D186" s="5"/>
      <c r="E186" s="5"/>
      <c r="F186" s="5"/>
    </row>
    <row r="187" spans="2:6" ht="15.75" customHeight="1">
      <c r="B187" s="5"/>
      <c r="C187" s="5"/>
      <c r="D187" s="5"/>
      <c r="E187" s="5"/>
      <c r="F187" s="5"/>
    </row>
    <row r="188" spans="2:6" ht="15.75" customHeight="1">
      <c r="B188" s="5"/>
      <c r="C188" s="5"/>
      <c r="D188" s="5"/>
      <c r="E188" s="5"/>
      <c r="F188" s="5"/>
    </row>
    <row r="189" spans="2:6" ht="15.75" customHeight="1">
      <c r="B189" s="5"/>
      <c r="C189" s="5"/>
      <c r="D189" s="5"/>
      <c r="E189" s="5"/>
      <c r="F189" s="5"/>
    </row>
    <row r="190" spans="2:6" ht="15.75" customHeight="1">
      <c r="B190" s="5"/>
      <c r="C190" s="5"/>
      <c r="D190" s="5"/>
      <c r="E190" s="5"/>
      <c r="F190" s="5"/>
    </row>
    <row r="191" spans="2:6" ht="15.75" customHeight="1">
      <c r="B191" s="5"/>
      <c r="C191" s="5"/>
      <c r="D191" s="5"/>
      <c r="E191" s="5"/>
      <c r="F191" s="5"/>
    </row>
    <row r="192" spans="2:6" ht="15.75" customHeight="1">
      <c r="B192" s="5"/>
      <c r="C192" s="5"/>
      <c r="D192" s="5"/>
      <c r="E192" s="5"/>
      <c r="F192" s="5"/>
    </row>
    <row r="193" spans="2:6" ht="15.75" customHeight="1">
      <c r="B193" s="5"/>
      <c r="C193" s="5"/>
      <c r="D193" s="5"/>
      <c r="E193" s="5"/>
      <c r="F193" s="5"/>
    </row>
    <row r="194" spans="2:6" ht="15.75" customHeight="1">
      <c r="B194" s="5"/>
      <c r="C194" s="5"/>
      <c r="D194" s="5"/>
      <c r="E194" s="5"/>
      <c r="F194" s="5"/>
    </row>
    <row r="195" spans="2:6" ht="15.75" customHeight="1">
      <c r="B195" s="5"/>
      <c r="C195" s="5"/>
      <c r="D195" s="5"/>
      <c r="E195" s="5"/>
      <c r="F195" s="5"/>
    </row>
    <row r="196" spans="2:6" ht="15.75" customHeight="1">
      <c r="B196" s="5"/>
      <c r="C196" s="5"/>
      <c r="D196" s="5"/>
      <c r="E196" s="5"/>
      <c r="F196" s="5"/>
    </row>
    <row r="197" spans="2:6" ht="15.75" customHeight="1">
      <c r="B197" s="5"/>
      <c r="C197" s="5"/>
      <c r="D197" s="5"/>
      <c r="E197" s="5"/>
      <c r="F197" s="5"/>
    </row>
    <row r="198" spans="2:6" ht="15.75" customHeight="1">
      <c r="B198" s="5"/>
      <c r="C198" s="5"/>
      <c r="D198" s="5"/>
      <c r="E198" s="5"/>
      <c r="F198" s="5"/>
    </row>
    <row r="199" spans="2:6" ht="15.75" customHeight="1">
      <c r="B199" s="5"/>
      <c r="C199" s="5"/>
      <c r="D199" s="5"/>
      <c r="E199" s="5"/>
      <c r="F199" s="5"/>
    </row>
    <row r="200" spans="2:6" ht="15.75" customHeight="1">
      <c r="B200" s="5"/>
      <c r="C200" s="5"/>
      <c r="D200" s="5"/>
      <c r="E200" s="5"/>
      <c r="F200" s="5"/>
    </row>
    <row r="201" spans="2:6" ht="15.75" customHeight="1">
      <c r="B201" s="5"/>
      <c r="C201" s="5"/>
      <c r="D201" s="5"/>
      <c r="E201" s="5"/>
      <c r="F201" s="5"/>
    </row>
    <row r="202" spans="2:6" ht="15.75" customHeight="1">
      <c r="B202" s="5"/>
      <c r="C202" s="5"/>
      <c r="D202" s="5"/>
      <c r="E202" s="5"/>
      <c r="F202" s="5"/>
    </row>
    <row r="203" spans="2:6" ht="15.75" customHeight="1">
      <c r="B203" s="5"/>
      <c r="C203" s="5"/>
      <c r="D203" s="5"/>
      <c r="E203" s="5"/>
      <c r="F203" s="5"/>
    </row>
    <row r="204" spans="2:6" ht="15.75" customHeight="1">
      <c r="B204" s="5"/>
      <c r="C204" s="5"/>
      <c r="D204" s="5"/>
      <c r="E204" s="5"/>
      <c r="F204" s="5"/>
    </row>
    <row r="205" spans="2:6" ht="15.75" customHeight="1">
      <c r="B205" s="5"/>
      <c r="C205" s="5"/>
      <c r="D205" s="5"/>
      <c r="E205" s="5"/>
      <c r="F205" s="5"/>
    </row>
    <row r="206" spans="2:6" ht="15.75" customHeight="1">
      <c r="B206" s="5"/>
      <c r="C206" s="5"/>
      <c r="D206" s="5"/>
      <c r="E206" s="5"/>
      <c r="F206" s="5"/>
    </row>
    <row r="207" spans="2:6" ht="15.75" customHeight="1">
      <c r="B207" s="5"/>
      <c r="C207" s="5"/>
      <c r="D207" s="5"/>
      <c r="E207" s="5"/>
      <c r="F207" s="5"/>
    </row>
    <row r="208" spans="2:6" ht="15.75" customHeight="1">
      <c r="B208" s="5"/>
      <c r="C208" s="5"/>
      <c r="D208" s="5"/>
      <c r="E208" s="5"/>
      <c r="F208" s="5"/>
    </row>
    <row r="209" spans="2:6" ht="15.75" customHeight="1">
      <c r="B209" s="5"/>
      <c r="C209" s="5"/>
      <c r="D209" s="5"/>
      <c r="E209" s="5"/>
      <c r="F209" s="5"/>
    </row>
    <row r="210" spans="2:6" ht="15.75" customHeight="1">
      <c r="B210" s="5"/>
      <c r="C210" s="5"/>
      <c r="D210" s="5"/>
      <c r="E210" s="5"/>
      <c r="F210" s="5"/>
    </row>
    <row r="211" spans="2:6" ht="15.75" customHeight="1">
      <c r="B211" s="5"/>
      <c r="C211" s="5"/>
      <c r="D211" s="5"/>
      <c r="E211" s="5"/>
      <c r="F211" s="5"/>
    </row>
    <row r="212" spans="2:6" ht="15.75" customHeight="1">
      <c r="B212" s="5"/>
      <c r="C212" s="5"/>
      <c r="D212" s="5"/>
      <c r="E212" s="5"/>
      <c r="F212" s="5"/>
    </row>
    <row r="213" spans="2:6" ht="15.75" customHeight="1">
      <c r="B213" s="5"/>
      <c r="C213" s="5"/>
      <c r="D213" s="5"/>
      <c r="E213" s="5"/>
      <c r="F213" s="5"/>
    </row>
    <row r="214" spans="2:6" ht="15.75" customHeight="1">
      <c r="B214" s="5"/>
      <c r="C214" s="5"/>
      <c r="D214" s="5"/>
      <c r="E214" s="5"/>
      <c r="F214" s="5"/>
    </row>
    <row r="215" spans="2:6" ht="15.75" customHeight="1">
      <c r="B215" s="5"/>
      <c r="C215" s="5"/>
      <c r="D215" s="5"/>
      <c r="E215" s="5"/>
      <c r="F215" s="5"/>
    </row>
    <row r="216" spans="2:6" ht="15.75" customHeight="1">
      <c r="B216" s="5"/>
      <c r="C216" s="5"/>
      <c r="D216" s="5"/>
      <c r="E216" s="5"/>
      <c r="F216" s="5"/>
    </row>
    <row r="217" spans="2:6" ht="15.75" customHeight="1">
      <c r="B217" s="5"/>
      <c r="C217" s="5"/>
      <c r="D217" s="5"/>
      <c r="E217" s="5"/>
      <c r="F217" s="5"/>
    </row>
    <row r="218" spans="2:6" ht="15.75" customHeight="1">
      <c r="B218" s="5"/>
      <c r="C218" s="5"/>
      <c r="D218" s="5"/>
      <c r="E218" s="5"/>
      <c r="F218" s="5"/>
    </row>
    <row r="219" spans="2:6" ht="15.75" customHeight="1">
      <c r="B219" s="5"/>
      <c r="C219" s="5"/>
      <c r="D219" s="5"/>
      <c r="E219" s="5"/>
      <c r="F219" s="5"/>
    </row>
    <row r="220" spans="2:6" ht="15.75" customHeight="1">
      <c r="B220" s="5"/>
      <c r="C220" s="5"/>
      <c r="D220" s="5"/>
      <c r="E220" s="5"/>
      <c r="F220" s="5"/>
    </row>
    <row r="221" spans="2:6" ht="15.75" customHeight="1">
      <c r="B221" s="5"/>
      <c r="C221" s="5"/>
      <c r="D221" s="5"/>
      <c r="E221" s="5"/>
      <c r="F221" s="5"/>
    </row>
    <row r="222" spans="2:6" ht="15.75" customHeight="1">
      <c r="B222" s="5"/>
      <c r="C222" s="5"/>
      <c r="D222" s="5"/>
      <c r="E222" s="5"/>
      <c r="F222" s="5"/>
    </row>
    <row r="223" spans="2:6" ht="15.75" customHeight="1">
      <c r="B223" s="5"/>
      <c r="C223" s="5"/>
      <c r="D223" s="5"/>
      <c r="E223" s="5"/>
      <c r="F223" s="5"/>
    </row>
    <row r="224" spans="2:6" ht="15.75" customHeight="1">
      <c r="B224" s="5"/>
      <c r="C224" s="5"/>
      <c r="D224" s="5"/>
      <c r="E224" s="5"/>
      <c r="F224" s="5"/>
    </row>
    <row r="225" spans="2:6" ht="15.75" customHeight="1">
      <c r="B225" s="5"/>
      <c r="C225" s="5"/>
      <c r="D225" s="5"/>
      <c r="E225" s="5"/>
      <c r="F225" s="5"/>
    </row>
    <row r="226" spans="2:6" ht="15.75" customHeight="1">
      <c r="B226" s="5"/>
      <c r="C226" s="5"/>
      <c r="D226" s="5"/>
      <c r="E226" s="5"/>
      <c r="F226" s="5"/>
    </row>
    <row r="227" spans="2:6" ht="15.75" customHeight="1">
      <c r="B227" s="5"/>
      <c r="C227" s="5"/>
      <c r="D227" s="5"/>
      <c r="E227" s="5"/>
      <c r="F227" s="5"/>
    </row>
    <row r="228" spans="2:6" ht="15.75" customHeight="1">
      <c r="B228" s="5"/>
      <c r="C228" s="5"/>
      <c r="D228" s="5"/>
      <c r="E228" s="5"/>
      <c r="F228" s="5"/>
    </row>
    <row r="229" spans="2:6" ht="15.75" customHeight="1">
      <c r="B229" s="5"/>
      <c r="C229" s="5"/>
      <c r="D229" s="5"/>
      <c r="E229" s="5"/>
      <c r="F229" s="5"/>
    </row>
    <row r="230" spans="2:6" ht="15.75" customHeight="1">
      <c r="B230" s="5"/>
      <c r="C230" s="5"/>
      <c r="D230" s="5"/>
      <c r="E230" s="5"/>
      <c r="F230" s="5"/>
    </row>
    <row r="231" spans="2:6" ht="15.75" customHeight="1">
      <c r="B231" s="5"/>
      <c r="C231" s="5"/>
      <c r="D231" s="5"/>
      <c r="E231" s="5"/>
      <c r="F231" s="5"/>
    </row>
    <row r="232" spans="2:6" ht="15.75" customHeight="1">
      <c r="B232" s="5"/>
      <c r="C232" s="5"/>
      <c r="D232" s="5"/>
      <c r="E232" s="5"/>
      <c r="F232" s="5"/>
    </row>
    <row r="233" spans="2:6" ht="15.75" customHeight="1">
      <c r="B233" s="5"/>
      <c r="C233" s="5"/>
      <c r="D233" s="5"/>
      <c r="E233" s="5"/>
      <c r="F233" s="5"/>
    </row>
    <row r="234" spans="2:6" ht="15.75" customHeight="1">
      <c r="B234" s="5"/>
      <c r="C234" s="5"/>
      <c r="D234" s="5"/>
      <c r="E234" s="5"/>
      <c r="F234" s="5"/>
    </row>
    <row r="235" spans="2:6" ht="15.75" customHeight="1">
      <c r="B235" s="5"/>
      <c r="C235" s="5"/>
      <c r="D235" s="5"/>
      <c r="E235" s="5"/>
      <c r="F235" s="5"/>
    </row>
    <row r="236" spans="2:6" ht="15.75" customHeight="1">
      <c r="B236" s="5"/>
      <c r="C236" s="5"/>
      <c r="D236" s="5"/>
      <c r="E236" s="5"/>
      <c r="F236" s="5"/>
    </row>
    <row r="237" spans="2:6" ht="15.75" customHeight="1">
      <c r="B237" s="5"/>
      <c r="C237" s="5"/>
      <c r="D237" s="5"/>
      <c r="E237" s="5"/>
      <c r="F237" s="5"/>
    </row>
    <row r="238" spans="2:6" ht="15.75" customHeight="1">
      <c r="B238" s="5"/>
      <c r="C238" s="5"/>
      <c r="D238" s="5"/>
      <c r="E238" s="5"/>
      <c r="F238" s="5"/>
    </row>
    <row r="239" spans="2:6" ht="15.75" customHeight="1">
      <c r="B239" s="5"/>
      <c r="C239" s="5"/>
      <c r="D239" s="5"/>
      <c r="E239" s="5"/>
      <c r="F239" s="5"/>
    </row>
    <row r="240" spans="2:6" ht="15.75" customHeight="1">
      <c r="B240" s="5"/>
      <c r="C240" s="5"/>
      <c r="D240" s="5"/>
      <c r="E240" s="5"/>
      <c r="F240" s="5"/>
    </row>
    <row r="241" spans="2:6" ht="15.75" customHeight="1">
      <c r="B241" s="5"/>
      <c r="C241" s="5"/>
      <c r="D241" s="5"/>
      <c r="E241" s="5"/>
      <c r="F241" s="5"/>
    </row>
    <row r="242" spans="2:6" ht="15.75" customHeight="1">
      <c r="B242" s="5"/>
      <c r="C242" s="5"/>
      <c r="D242" s="5"/>
      <c r="E242" s="5"/>
      <c r="F242" s="5"/>
    </row>
    <row r="243" spans="2:6" ht="15.75" customHeight="1">
      <c r="B243" s="5"/>
      <c r="C243" s="5"/>
      <c r="D243" s="5"/>
      <c r="E243" s="5"/>
      <c r="F243" s="5"/>
    </row>
    <row r="244" spans="2:6" ht="15.75" customHeight="1">
      <c r="B244" s="5"/>
      <c r="C244" s="5"/>
      <c r="D244" s="5"/>
      <c r="E244" s="5"/>
      <c r="F244" s="5"/>
    </row>
    <row r="245" spans="2:6" ht="15.75" customHeight="1">
      <c r="B245" s="5"/>
      <c r="C245" s="5"/>
      <c r="D245" s="5"/>
      <c r="E245" s="5"/>
      <c r="F245" s="5"/>
    </row>
    <row r="246" spans="2:6" ht="15.75" customHeight="1">
      <c r="B246" s="5"/>
      <c r="C246" s="5"/>
      <c r="D246" s="5"/>
      <c r="E246" s="5"/>
      <c r="F246" s="5"/>
    </row>
    <row r="247" spans="2:6" ht="15.75" customHeight="1">
      <c r="B247" s="5"/>
      <c r="C247" s="5"/>
      <c r="D247" s="5"/>
      <c r="E247" s="5"/>
      <c r="F247" s="5"/>
    </row>
    <row r="248" spans="2:6" ht="15.75" customHeight="1">
      <c r="B248" s="5"/>
      <c r="C248" s="5"/>
      <c r="D248" s="5"/>
      <c r="E248" s="5"/>
      <c r="F248" s="5"/>
    </row>
    <row r="249" spans="2:6" ht="15.75" customHeight="1">
      <c r="B249" s="5"/>
      <c r="C249" s="5"/>
      <c r="D249" s="5"/>
      <c r="E249" s="5"/>
      <c r="F249" s="5"/>
    </row>
    <row r="250" spans="2:6" ht="15.75" customHeight="1">
      <c r="B250" s="5"/>
      <c r="C250" s="5"/>
      <c r="D250" s="5"/>
      <c r="E250" s="5"/>
      <c r="F250" s="5"/>
    </row>
    <row r="251" spans="2:6" ht="15.75" customHeight="1">
      <c r="B251" s="5"/>
      <c r="C251" s="5"/>
      <c r="D251" s="5"/>
      <c r="E251" s="5"/>
      <c r="F251" s="5"/>
    </row>
    <row r="252" spans="2:6" ht="15.75" customHeight="1">
      <c r="B252" s="5"/>
      <c r="C252" s="5"/>
      <c r="D252" s="5"/>
      <c r="E252" s="5"/>
      <c r="F252" s="5"/>
    </row>
    <row r="253" spans="2:6" ht="15.75" customHeight="1">
      <c r="B253" s="5"/>
      <c r="C253" s="5"/>
      <c r="D253" s="5"/>
      <c r="E253" s="5"/>
      <c r="F253" s="5"/>
    </row>
    <row r="254" spans="2:6" ht="15.75" customHeight="1">
      <c r="B254" s="5"/>
      <c r="C254" s="5"/>
      <c r="D254" s="5"/>
      <c r="E254" s="5"/>
      <c r="F254" s="5"/>
    </row>
    <row r="255" spans="2:6" ht="15.75" customHeight="1">
      <c r="B255" s="5"/>
      <c r="C255" s="5"/>
      <c r="D255" s="5"/>
      <c r="E255" s="5"/>
      <c r="F255" s="5"/>
    </row>
    <row r="256" spans="2:6" ht="15.75" customHeight="1">
      <c r="B256" s="5"/>
      <c r="C256" s="5"/>
      <c r="D256" s="5"/>
      <c r="E256" s="5"/>
      <c r="F256" s="5"/>
    </row>
    <row r="257" spans="2:6" ht="15.75" customHeight="1">
      <c r="B257" s="5"/>
      <c r="C257" s="5"/>
      <c r="D257" s="5"/>
      <c r="E257" s="5"/>
      <c r="F257" s="5"/>
    </row>
    <row r="258" spans="2:6" ht="15.75" customHeight="1">
      <c r="B258" s="5"/>
      <c r="C258" s="5"/>
      <c r="D258" s="5"/>
      <c r="E258" s="5"/>
      <c r="F258" s="5"/>
    </row>
    <row r="259" spans="2:6" ht="15.75" customHeight="1">
      <c r="B259" s="5"/>
      <c r="C259" s="5"/>
      <c r="D259" s="5"/>
      <c r="E259" s="5"/>
      <c r="F259" s="5"/>
    </row>
    <row r="260" spans="2:6" ht="15.75" customHeight="1">
      <c r="B260" s="5"/>
      <c r="C260" s="5"/>
      <c r="D260" s="5"/>
      <c r="E260" s="5"/>
      <c r="F260" s="5"/>
    </row>
    <row r="261" spans="2:6" ht="15.75" customHeight="1">
      <c r="B261" s="5"/>
      <c r="C261" s="5"/>
      <c r="D261" s="5"/>
      <c r="E261" s="5"/>
      <c r="F261" s="5"/>
    </row>
    <row r="262" spans="2:6" ht="15.75" customHeight="1">
      <c r="B262" s="5"/>
      <c r="C262" s="5"/>
      <c r="D262" s="5"/>
      <c r="E262" s="5"/>
      <c r="F262" s="5"/>
    </row>
    <row r="263" spans="2:6" ht="15.75" customHeight="1">
      <c r="B263" s="5"/>
      <c r="C263" s="5"/>
      <c r="D263" s="5"/>
      <c r="E263" s="5"/>
      <c r="F263" s="5"/>
    </row>
    <row r="264" spans="2:6" ht="15.75" customHeight="1">
      <c r="B264" s="5"/>
      <c r="C264" s="5"/>
      <c r="D264" s="5"/>
      <c r="E264" s="5"/>
      <c r="F264" s="5"/>
    </row>
    <row r="265" spans="2:6" ht="15.75" customHeight="1">
      <c r="B265" s="5"/>
      <c r="C265" s="5"/>
      <c r="D265" s="5"/>
      <c r="E265" s="5"/>
      <c r="F265" s="5"/>
    </row>
    <row r="266" spans="2:6" ht="15.75" customHeight="1">
      <c r="B266" s="5"/>
      <c r="C266" s="5"/>
      <c r="D266" s="5"/>
      <c r="E266" s="5"/>
      <c r="F266" s="5"/>
    </row>
    <row r="267" spans="2:6" ht="15.75" customHeight="1">
      <c r="B267" s="5"/>
      <c r="C267" s="5"/>
      <c r="D267" s="5"/>
      <c r="E267" s="5"/>
      <c r="F267" s="5"/>
    </row>
    <row r="268" spans="2:6" ht="15.75" customHeight="1">
      <c r="B268" s="5"/>
      <c r="C268" s="5"/>
      <c r="D268" s="5"/>
      <c r="E268" s="5"/>
      <c r="F268" s="5"/>
    </row>
    <row r="269" spans="2:6" ht="15.75" customHeight="1">
      <c r="B269" s="5"/>
      <c r="C269" s="5"/>
      <c r="D269" s="5"/>
      <c r="E269" s="5"/>
      <c r="F269" s="5"/>
    </row>
    <row r="270" spans="2:6" ht="15.75" customHeight="1">
      <c r="B270" s="5"/>
      <c r="C270" s="5"/>
      <c r="D270" s="5"/>
      <c r="E270" s="5"/>
      <c r="F270" s="5"/>
    </row>
    <row r="271" spans="2:6" ht="15.75" customHeight="1">
      <c r="B271" s="5"/>
      <c r="C271" s="5"/>
      <c r="D271" s="5"/>
      <c r="E271" s="5"/>
      <c r="F271" s="5"/>
    </row>
    <row r="272" spans="2:6" ht="15.75" customHeight="1">
      <c r="B272" s="5"/>
      <c r="C272" s="5"/>
      <c r="D272" s="5"/>
      <c r="E272" s="5"/>
      <c r="F272" s="5"/>
    </row>
    <row r="273" spans="2:6" ht="15.75" customHeight="1">
      <c r="B273" s="5"/>
      <c r="C273" s="5"/>
      <c r="D273" s="5"/>
      <c r="E273" s="5"/>
      <c r="F273" s="5"/>
    </row>
    <row r="274" spans="2:6" ht="15.75" customHeight="1">
      <c r="B274" s="5"/>
      <c r="C274" s="5"/>
      <c r="D274" s="5"/>
      <c r="E274" s="5"/>
      <c r="F274" s="5"/>
    </row>
    <row r="275" spans="2:6" ht="15.75" customHeight="1">
      <c r="B275" s="5"/>
      <c r="C275" s="5"/>
      <c r="D275" s="5"/>
      <c r="E275" s="5"/>
      <c r="F275" s="5"/>
    </row>
    <row r="276" spans="2:6" ht="15.75" customHeight="1">
      <c r="B276" s="5"/>
      <c r="C276" s="5"/>
      <c r="D276" s="5"/>
      <c r="E276" s="5"/>
      <c r="F276" s="5"/>
    </row>
    <row r="277" spans="2:6" ht="15.75" customHeight="1">
      <c r="B277" s="5"/>
      <c r="C277" s="5"/>
      <c r="D277" s="5"/>
      <c r="E277" s="5"/>
      <c r="F277" s="5"/>
    </row>
    <row r="278" spans="2:6" ht="15.75" customHeight="1">
      <c r="B278" s="5"/>
      <c r="C278" s="5"/>
      <c r="D278" s="5"/>
      <c r="E278" s="5"/>
      <c r="F278" s="5"/>
    </row>
    <row r="279" spans="2:6" ht="15.75" customHeight="1">
      <c r="B279" s="5"/>
      <c r="C279" s="5"/>
      <c r="D279" s="5"/>
      <c r="E279" s="5"/>
      <c r="F279" s="5"/>
    </row>
    <row r="280" spans="2:6" ht="15.75" customHeight="1">
      <c r="B280" s="5"/>
      <c r="C280" s="5"/>
      <c r="D280" s="5"/>
      <c r="E280" s="5"/>
      <c r="F280" s="5"/>
    </row>
    <row r="281" spans="2:6" ht="15.75" customHeight="1">
      <c r="B281" s="5"/>
      <c r="C281" s="5"/>
      <c r="D281" s="5"/>
      <c r="E281" s="5"/>
      <c r="F281" s="5"/>
    </row>
    <row r="282" spans="2:6" ht="15.75" customHeight="1">
      <c r="B282" s="5"/>
      <c r="C282" s="5"/>
      <c r="D282" s="5"/>
      <c r="E282" s="5"/>
      <c r="F282" s="5"/>
    </row>
    <row r="283" spans="2:6" ht="15.75" customHeight="1">
      <c r="B283" s="5"/>
      <c r="C283" s="5"/>
      <c r="D283" s="5"/>
      <c r="E283" s="5"/>
      <c r="F283" s="5"/>
    </row>
    <row r="284" spans="2:6" ht="15.75" customHeight="1">
      <c r="B284" s="5"/>
      <c r="C284" s="5"/>
      <c r="D284" s="5"/>
      <c r="E284" s="5"/>
      <c r="F284" s="5"/>
    </row>
    <row r="285" spans="2:6" ht="15.75" customHeight="1">
      <c r="B285" s="5"/>
      <c r="C285" s="5"/>
      <c r="D285" s="5"/>
      <c r="E285" s="5"/>
      <c r="F285" s="5"/>
    </row>
    <row r="286" spans="2:6" ht="15.75" customHeight="1">
      <c r="B286" s="5"/>
      <c r="C286" s="5"/>
      <c r="D286" s="5"/>
      <c r="E286" s="5"/>
      <c r="F286" s="5"/>
    </row>
    <row r="287" spans="2:6" ht="15.75" customHeight="1">
      <c r="B287" s="5"/>
      <c r="C287" s="5"/>
      <c r="D287" s="5"/>
      <c r="E287" s="5"/>
      <c r="F287" s="5"/>
    </row>
    <row r="288" spans="2:6" ht="15.75" customHeight="1">
      <c r="B288" s="5"/>
      <c r="C288" s="5"/>
      <c r="D288" s="5"/>
      <c r="E288" s="5"/>
      <c r="F288" s="5"/>
    </row>
    <row r="289" spans="2:6" ht="15.75" customHeight="1">
      <c r="B289" s="5"/>
      <c r="C289" s="5"/>
      <c r="D289" s="5"/>
      <c r="E289" s="5"/>
      <c r="F289" s="5"/>
    </row>
    <row r="290" spans="2:6" ht="15.75" customHeight="1">
      <c r="B290" s="5"/>
      <c r="C290" s="5"/>
      <c r="D290" s="5"/>
      <c r="E290" s="5"/>
      <c r="F290" s="5"/>
    </row>
    <row r="291" spans="2:6" ht="15.75" customHeight="1">
      <c r="B291" s="5"/>
      <c r="C291" s="5"/>
      <c r="D291" s="5"/>
      <c r="E291" s="5"/>
      <c r="F291" s="5"/>
    </row>
    <row r="292" spans="2:6" ht="15.75" customHeight="1">
      <c r="B292" s="5"/>
      <c r="C292" s="5"/>
      <c r="D292" s="5"/>
      <c r="E292" s="5"/>
      <c r="F292" s="5"/>
    </row>
    <row r="293" spans="2:6" ht="15.75" customHeight="1">
      <c r="B293" s="5"/>
      <c r="C293" s="5"/>
      <c r="D293" s="5"/>
      <c r="E293" s="5"/>
      <c r="F293" s="5"/>
    </row>
    <row r="294" spans="2:6" ht="15.75" customHeight="1">
      <c r="B294" s="5"/>
      <c r="C294" s="5"/>
      <c r="D294" s="5"/>
      <c r="E294" s="5"/>
      <c r="F294" s="5"/>
    </row>
    <row r="295" spans="2:6" ht="15.75" customHeight="1">
      <c r="B295" s="5"/>
      <c r="C295" s="5"/>
      <c r="D295" s="5"/>
      <c r="E295" s="5"/>
      <c r="F295" s="5"/>
    </row>
    <row r="296" spans="2:6" ht="15.75" customHeight="1">
      <c r="B296" s="5"/>
      <c r="C296" s="5"/>
      <c r="D296" s="5"/>
      <c r="E296" s="5"/>
      <c r="F296" s="5"/>
    </row>
    <row r="297" spans="2:6" ht="15.75" customHeight="1">
      <c r="B297" s="5"/>
      <c r="C297" s="5"/>
      <c r="D297" s="5"/>
      <c r="E297" s="5"/>
      <c r="F297" s="5"/>
    </row>
    <row r="298" spans="2:6" ht="15.75" customHeight="1">
      <c r="B298" s="5"/>
      <c r="C298" s="5"/>
      <c r="D298" s="5"/>
      <c r="E298" s="5"/>
      <c r="F298" s="5"/>
    </row>
    <row r="299" spans="2:6" ht="15.75" customHeight="1">
      <c r="B299" s="5"/>
      <c r="C299" s="5"/>
      <c r="D299" s="5"/>
      <c r="E299" s="5"/>
      <c r="F299" s="5"/>
    </row>
    <row r="300" spans="2:6" ht="15.75" customHeight="1">
      <c r="B300" s="5"/>
      <c r="C300" s="5"/>
      <c r="D300" s="5"/>
      <c r="E300" s="5"/>
      <c r="F300" s="5"/>
    </row>
    <row r="301" spans="2:6" ht="15.75" customHeight="1">
      <c r="B301" s="5"/>
      <c r="C301" s="5"/>
      <c r="D301" s="5"/>
      <c r="E301" s="5"/>
      <c r="F301" s="5"/>
    </row>
    <row r="302" spans="2:6" ht="15.75" customHeight="1">
      <c r="B302" s="5"/>
      <c r="C302" s="5"/>
      <c r="D302" s="5"/>
      <c r="E302" s="5"/>
      <c r="F302" s="5"/>
    </row>
    <row r="303" spans="2:6" ht="15.75" customHeight="1">
      <c r="B303" s="5"/>
      <c r="C303" s="5"/>
      <c r="D303" s="5"/>
      <c r="E303" s="5"/>
      <c r="F303" s="5"/>
    </row>
    <row r="304" spans="2:6" ht="15.75" customHeight="1">
      <c r="B304" s="5"/>
      <c r="C304" s="5"/>
      <c r="D304" s="5"/>
      <c r="E304" s="5"/>
      <c r="F304" s="5"/>
    </row>
    <row r="305" spans="2:6" ht="15.75" customHeight="1">
      <c r="B305" s="5"/>
      <c r="C305" s="5"/>
      <c r="D305" s="5"/>
      <c r="E305" s="5"/>
      <c r="F305" s="5"/>
    </row>
    <row r="306" spans="2:6" ht="15.75" customHeight="1">
      <c r="B306" s="5"/>
      <c r="C306" s="5"/>
      <c r="D306" s="5"/>
      <c r="E306" s="5"/>
      <c r="F306" s="5"/>
    </row>
    <row r="307" spans="2:6" ht="15.75" customHeight="1">
      <c r="B307" s="5"/>
      <c r="C307" s="5"/>
      <c r="D307" s="5"/>
      <c r="E307" s="5"/>
      <c r="F307" s="5"/>
    </row>
    <row r="308" spans="2:6" ht="15.75" customHeight="1">
      <c r="B308" s="5"/>
      <c r="C308" s="5"/>
      <c r="D308" s="5"/>
      <c r="E308" s="5"/>
      <c r="F308" s="5"/>
    </row>
    <row r="309" spans="2:6" ht="15.75" customHeight="1">
      <c r="B309" s="5"/>
      <c r="C309" s="5"/>
      <c r="D309" s="5"/>
      <c r="E309" s="5"/>
      <c r="F309" s="5"/>
    </row>
    <row r="310" spans="2:6" ht="15.75" customHeight="1">
      <c r="B310" s="5"/>
      <c r="C310" s="5"/>
      <c r="D310" s="5"/>
      <c r="E310" s="5"/>
      <c r="F310" s="5"/>
    </row>
    <row r="311" spans="2:6" ht="15.75" customHeight="1">
      <c r="B311" s="5"/>
      <c r="C311" s="5"/>
      <c r="D311" s="5"/>
      <c r="E311" s="5"/>
      <c r="F311" s="5"/>
    </row>
    <row r="312" spans="2:6" ht="15.75" customHeight="1">
      <c r="B312" s="5"/>
      <c r="C312" s="5"/>
      <c r="D312" s="5"/>
      <c r="E312" s="5"/>
      <c r="F312" s="5"/>
    </row>
    <row r="313" spans="2:6" ht="15.75" customHeight="1">
      <c r="B313" s="5"/>
      <c r="C313" s="5"/>
      <c r="D313" s="5"/>
      <c r="E313" s="5"/>
      <c r="F313" s="5"/>
    </row>
    <row r="314" spans="2:6" ht="15.75" customHeight="1">
      <c r="B314" s="5"/>
      <c r="C314" s="5"/>
      <c r="D314" s="5"/>
      <c r="E314" s="5"/>
      <c r="F314" s="5"/>
    </row>
    <row r="315" spans="2:6" ht="15.75" customHeight="1">
      <c r="B315" s="5"/>
      <c r="C315" s="5"/>
      <c r="D315" s="5"/>
      <c r="E315" s="5"/>
      <c r="F315" s="5"/>
    </row>
    <row r="316" spans="2:6" ht="15.75" customHeight="1">
      <c r="B316" s="5"/>
      <c r="C316" s="5"/>
      <c r="D316" s="5"/>
      <c r="E316" s="5"/>
      <c r="F316" s="5"/>
    </row>
    <row r="317" spans="2:6" ht="15.75" customHeight="1">
      <c r="B317" s="5"/>
      <c r="C317" s="5"/>
      <c r="D317" s="5"/>
      <c r="E317" s="5"/>
      <c r="F317" s="5"/>
    </row>
    <row r="318" spans="2:6" ht="15.75" customHeight="1">
      <c r="B318" s="5"/>
      <c r="C318" s="5"/>
      <c r="D318" s="5"/>
      <c r="E318" s="5"/>
      <c r="F318" s="5"/>
    </row>
    <row r="319" spans="2:6" ht="15.75" customHeight="1">
      <c r="B319" s="5"/>
      <c r="C319" s="5"/>
      <c r="D319" s="5"/>
      <c r="E319" s="5"/>
      <c r="F319" s="5"/>
    </row>
    <row r="320" spans="2:6" ht="15.75" customHeight="1">
      <c r="B320" s="5"/>
      <c r="C320" s="5"/>
      <c r="D320" s="5"/>
      <c r="E320" s="5"/>
      <c r="F320" s="5"/>
    </row>
    <row r="321" spans="2:6" ht="15.75" customHeight="1">
      <c r="B321" s="5"/>
      <c r="C321" s="5"/>
      <c r="D321" s="5"/>
      <c r="E321" s="5"/>
      <c r="F321" s="5"/>
    </row>
    <row r="322" spans="2:6" ht="15.75" customHeight="1">
      <c r="B322" s="5"/>
      <c r="C322" s="5"/>
      <c r="D322" s="5"/>
      <c r="E322" s="5"/>
      <c r="F322" s="5"/>
    </row>
    <row r="323" spans="2:6" ht="15.75" customHeight="1">
      <c r="B323" s="5"/>
      <c r="C323" s="5"/>
      <c r="D323" s="5"/>
      <c r="E323" s="5"/>
      <c r="F323" s="5"/>
    </row>
    <row r="324" spans="2:6" ht="15.75" customHeight="1">
      <c r="B324" s="5"/>
      <c r="C324" s="5"/>
      <c r="D324" s="5"/>
      <c r="E324" s="5"/>
      <c r="F324" s="5"/>
    </row>
    <row r="325" spans="2:6" ht="15.75" customHeight="1">
      <c r="B325" s="5"/>
      <c r="C325" s="5"/>
      <c r="D325" s="5"/>
      <c r="E325" s="5"/>
      <c r="F325" s="5"/>
    </row>
    <row r="326" spans="2:6" ht="15.75" customHeight="1">
      <c r="B326" s="5"/>
      <c r="C326" s="5"/>
      <c r="D326" s="5"/>
      <c r="E326" s="5"/>
      <c r="F326" s="5"/>
    </row>
    <row r="327" spans="2:6" ht="15.75" customHeight="1">
      <c r="B327" s="5"/>
      <c r="C327" s="5"/>
      <c r="D327" s="5"/>
      <c r="E327" s="5"/>
      <c r="F327" s="5"/>
    </row>
    <row r="328" spans="2:6" ht="15.75" customHeight="1">
      <c r="B328" s="5"/>
      <c r="C328" s="5"/>
      <c r="D328" s="5"/>
      <c r="E328" s="5"/>
      <c r="F328" s="5"/>
    </row>
    <row r="329" spans="2:6" ht="15.75" customHeight="1">
      <c r="B329" s="5"/>
      <c r="C329" s="5"/>
      <c r="D329" s="5"/>
      <c r="E329" s="5"/>
      <c r="F329" s="5"/>
    </row>
    <row r="330" spans="2:6" ht="15.75" customHeight="1">
      <c r="B330" s="5"/>
      <c r="C330" s="5"/>
      <c r="D330" s="5"/>
      <c r="E330" s="5"/>
      <c r="F330" s="5"/>
    </row>
    <row r="331" spans="2:6" ht="15.75" customHeight="1">
      <c r="B331" s="5"/>
      <c r="C331" s="5"/>
      <c r="D331" s="5"/>
      <c r="E331" s="5"/>
      <c r="F331" s="5"/>
    </row>
    <row r="332" spans="2:6" ht="15.75" customHeight="1">
      <c r="B332" s="5"/>
      <c r="C332" s="5"/>
      <c r="D332" s="5"/>
      <c r="E332" s="5"/>
      <c r="F332" s="5"/>
    </row>
    <row r="333" spans="2:6" ht="15.75" customHeight="1">
      <c r="B333" s="5"/>
      <c r="C333" s="5"/>
      <c r="D333" s="5"/>
      <c r="E333" s="5"/>
      <c r="F333" s="5"/>
    </row>
    <row r="334" spans="2:6" ht="15.75" customHeight="1">
      <c r="B334" s="5"/>
      <c r="C334" s="5"/>
      <c r="D334" s="5"/>
      <c r="E334" s="5"/>
      <c r="F334" s="5"/>
    </row>
    <row r="335" spans="2:6" ht="15.75" customHeight="1">
      <c r="B335" s="5"/>
      <c r="C335" s="5"/>
      <c r="D335" s="5"/>
      <c r="E335" s="5"/>
      <c r="F335" s="5"/>
    </row>
    <row r="336" spans="2:6" ht="15.75" customHeight="1">
      <c r="B336" s="5"/>
      <c r="C336" s="5"/>
      <c r="D336" s="5"/>
      <c r="E336" s="5"/>
      <c r="F336" s="5"/>
    </row>
    <row r="337" spans="2:6" ht="15.75" customHeight="1">
      <c r="B337" s="5"/>
      <c r="C337" s="5"/>
      <c r="D337" s="5"/>
      <c r="E337" s="5"/>
      <c r="F337" s="5"/>
    </row>
    <row r="338" spans="2:6" ht="15.75" customHeight="1">
      <c r="B338" s="5"/>
      <c r="C338" s="5"/>
      <c r="D338" s="5"/>
      <c r="E338" s="5"/>
      <c r="F338" s="5"/>
    </row>
    <row r="339" spans="2:6" ht="15.75" customHeight="1">
      <c r="B339" s="5"/>
      <c r="C339" s="5"/>
      <c r="D339" s="5"/>
      <c r="E339" s="5"/>
      <c r="F339" s="5"/>
    </row>
    <row r="340" spans="2:6" ht="15.75" customHeight="1">
      <c r="B340" s="5"/>
      <c r="C340" s="5"/>
      <c r="D340" s="5"/>
      <c r="E340" s="5"/>
      <c r="F340" s="5"/>
    </row>
    <row r="341" spans="2:6" ht="15.75" customHeight="1">
      <c r="B341" s="5"/>
      <c r="C341" s="5"/>
      <c r="D341" s="5"/>
      <c r="E341" s="5"/>
      <c r="F341" s="5"/>
    </row>
    <row r="342" spans="2:6" ht="15.75" customHeight="1">
      <c r="B342" s="5"/>
      <c r="C342" s="5"/>
      <c r="D342" s="5"/>
      <c r="E342" s="5"/>
      <c r="F342" s="5"/>
    </row>
    <row r="343" spans="2:6" ht="15.75" customHeight="1">
      <c r="B343" s="5"/>
      <c r="C343" s="5"/>
      <c r="D343" s="5"/>
      <c r="E343" s="5"/>
      <c r="F343" s="5"/>
    </row>
    <row r="344" spans="2:6" ht="15.75" customHeight="1">
      <c r="B344" s="5"/>
      <c r="C344" s="5"/>
      <c r="D344" s="5"/>
      <c r="E344" s="5"/>
      <c r="F344" s="5"/>
    </row>
    <row r="345" spans="2:6" ht="15.75" customHeight="1">
      <c r="B345" s="5"/>
      <c r="C345" s="5"/>
      <c r="D345" s="5"/>
      <c r="E345" s="5"/>
      <c r="F345" s="5"/>
    </row>
    <row r="346" spans="2:6" ht="15.75" customHeight="1">
      <c r="B346" s="5"/>
      <c r="C346" s="5"/>
      <c r="D346" s="5"/>
      <c r="E346" s="5"/>
      <c r="F346" s="5"/>
    </row>
    <row r="347" spans="2:6" ht="15.75" customHeight="1">
      <c r="B347" s="5"/>
      <c r="C347" s="5"/>
      <c r="D347" s="5"/>
      <c r="E347" s="5"/>
      <c r="F347" s="5"/>
    </row>
    <row r="348" spans="2:6" ht="15.75" customHeight="1">
      <c r="B348" s="5"/>
      <c r="C348" s="5"/>
      <c r="D348" s="5"/>
      <c r="E348" s="5"/>
      <c r="F348" s="5"/>
    </row>
    <row r="349" spans="2:6" ht="15.75" customHeight="1">
      <c r="B349" s="5"/>
      <c r="C349" s="5"/>
      <c r="D349" s="5"/>
      <c r="E349" s="5"/>
      <c r="F349" s="5"/>
    </row>
    <row r="350" spans="2:6" ht="15.75" customHeight="1">
      <c r="B350" s="5"/>
      <c r="C350" s="5"/>
      <c r="D350" s="5"/>
      <c r="E350" s="5"/>
      <c r="F350" s="5"/>
    </row>
    <row r="351" spans="2:6" ht="15.75" customHeight="1">
      <c r="B351" s="5"/>
      <c r="C351" s="5"/>
      <c r="D351" s="5"/>
      <c r="E351" s="5"/>
      <c r="F351" s="5"/>
    </row>
    <row r="352" spans="2:6" ht="15.75" customHeight="1">
      <c r="B352" s="5"/>
      <c r="C352" s="5"/>
      <c r="D352" s="5"/>
      <c r="E352" s="5"/>
      <c r="F352" s="5"/>
    </row>
    <row r="353" spans="2:6" ht="15.75" customHeight="1">
      <c r="B353" s="5"/>
      <c r="C353" s="5"/>
      <c r="D353" s="5"/>
      <c r="E353" s="5"/>
      <c r="F353" s="5"/>
    </row>
    <row r="354" spans="2:6" ht="15.75" customHeight="1">
      <c r="B354" s="5"/>
      <c r="C354" s="5"/>
      <c r="D354" s="5"/>
      <c r="E354" s="5"/>
      <c r="F354" s="5"/>
    </row>
    <row r="355" spans="2:6" ht="15.75" customHeight="1">
      <c r="B355" s="5"/>
      <c r="C355" s="5"/>
      <c r="D355" s="5"/>
      <c r="E355" s="5"/>
      <c r="F355" s="5"/>
    </row>
    <row r="356" spans="2:6" ht="15.75" customHeight="1">
      <c r="B356" s="5"/>
      <c r="C356" s="5"/>
      <c r="D356" s="5"/>
      <c r="E356" s="5"/>
      <c r="F356" s="5"/>
    </row>
    <row r="357" spans="2:6" ht="15.75" customHeight="1">
      <c r="B357" s="5"/>
      <c r="C357" s="5"/>
      <c r="D357" s="5"/>
      <c r="E357" s="5"/>
      <c r="F357" s="5"/>
    </row>
    <row r="358" spans="2:6" ht="15.75" customHeight="1">
      <c r="B358" s="5"/>
      <c r="C358" s="5"/>
      <c r="D358" s="5"/>
      <c r="E358" s="5"/>
      <c r="F358" s="5"/>
    </row>
    <row r="359" spans="2:6" ht="15.75" customHeight="1">
      <c r="B359" s="5"/>
      <c r="C359" s="5"/>
      <c r="D359" s="5"/>
      <c r="E359" s="5"/>
      <c r="F359" s="5"/>
    </row>
    <row r="360" spans="2:6" ht="15.75" customHeight="1">
      <c r="B360" s="5"/>
      <c r="C360" s="5"/>
      <c r="D360" s="5"/>
      <c r="E360" s="5"/>
      <c r="F360" s="5"/>
    </row>
    <row r="361" spans="2:6" ht="15.75" customHeight="1">
      <c r="B361" s="5"/>
      <c r="C361" s="5"/>
      <c r="D361" s="5"/>
      <c r="E361" s="5"/>
      <c r="F361" s="5"/>
    </row>
    <row r="362" spans="2:6" ht="15.75" customHeight="1">
      <c r="B362" s="5"/>
      <c r="C362" s="5"/>
      <c r="D362" s="5"/>
      <c r="E362" s="5"/>
      <c r="F362" s="5"/>
    </row>
    <row r="363" spans="2:6" ht="15.75" customHeight="1">
      <c r="B363" s="5"/>
      <c r="C363" s="5"/>
      <c r="D363" s="5"/>
      <c r="E363" s="5"/>
      <c r="F363" s="5"/>
    </row>
    <row r="364" spans="2:6" ht="15.75" customHeight="1">
      <c r="B364" s="5"/>
      <c r="C364" s="5"/>
      <c r="D364" s="5"/>
      <c r="E364" s="5"/>
      <c r="F364" s="5"/>
    </row>
    <row r="365" spans="2:6" ht="15.75" customHeight="1">
      <c r="B365" s="5"/>
      <c r="C365" s="5"/>
      <c r="D365" s="5"/>
      <c r="E365" s="5"/>
      <c r="F365" s="5"/>
    </row>
    <row r="366" spans="2:6" ht="15.75" customHeight="1">
      <c r="B366" s="5"/>
      <c r="C366" s="5"/>
      <c r="D366" s="5"/>
      <c r="E366" s="5"/>
      <c r="F366" s="5"/>
    </row>
    <row r="367" spans="2:6" ht="15.75" customHeight="1">
      <c r="B367" s="5"/>
      <c r="C367" s="5"/>
      <c r="D367" s="5"/>
      <c r="E367" s="5"/>
      <c r="F367" s="5"/>
    </row>
    <row r="368" spans="2:6" ht="15.75" customHeight="1">
      <c r="B368" s="5"/>
      <c r="C368" s="5"/>
      <c r="D368" s="5"/>
      <c r="E368" s="5"/>
      <c r="F368" s="5"/>
    </row>
    <row r="369" spans="2:6" ht="15.75" customHeight="1">
      <c r="B369" s="5"/>
      <c r="C369" s="5"/>
      <c r="D369" s="5"/>
      <c r="E369" s="5"/>
      <c r="F369" s="5"/>
    </row>
    <row r="370" spans="2:6" ht="15.75" customHeight="1">
      <c r="B370" s="5"/>
      <c r="C370" s="5"/>
      <c r="D370" s="5"/>
      <c r="E370" s="5"/>
      <c r="F370" s="5"/>
    </row>
    <row r="371" spans="2:6" ht="15.75" customHeight="1">
      <c r="B371" s="5"/>
      <c r="C371" s="5"/>
      <c r="D371" s="5"/>
      <c r="E371" s="5"/>
      <c r="F371" s="5"/>
    </row>
    <row r="372" spans="2:6" ht="15.75" customHeight="1">
      <c r="B372" s="5"/>
      <c r="C372" s="5"/>
      <c r="D372" s="5"/>
      <c r="E372" s="5"/>
      <c r="F372" s="5"/>
    </row>
    <row r="373" spans="2:6" ht="15.75" customHeight="1">
      <c r="B373" s="5"/>
      <c r="C373" s="5"/>
      <c r="D373" s="5"/>
      <c r="E373" s="5"/>
      <c r="F373" s="5"/>
    </row>
    <row r="374" spans="2:6" ht="15.75" customHeight="1">
      <c r="B374" s="5"/>
      <c r="C374" s="5"/>
      <c r="D374" s="5"/>
      <c r="E374" s="5"/>
      <c r="F374" s="5"/>
    </row>
    <row r="375" spans="2:6" ht="15.75" customHeight="1">
      <c r="B375" s="5"/>
      <c r="C375" s="5"/>
      <c r="D375" s="5"/>
      <c r="E375" s="5"/>
      <c r="F375" s="5"/>
    </row>
    <row r="376" spans="2:6" ht="15.75" customHeight="1">
      <c r="B376" s="5"/>
      <c r="C376" s="5"/>
      <c r="D376" s="5"/>
      <c r="E376" s="5"/>
      <c r="F376" s="5"/>
    </row>
    <row r="377" spans="2:6" ht="15.75" customHeight="1">
      <c r="B377" s="5"/>
      <c r="C377" s="5"/>
      <c r="D377" s="5"/>
      <c r="E377" s="5"/>
      <c r="F377" s="5"/>
    </row>
    <row r="378" spans="2:6" ht="15.75" customHeight="1">
      <c r="B378" s="5"/>
      <c r="C378" s="5"/>
      <c r="D378" s="5"/>
      <c r="E378" s="5"/>
      <c r="F378" s="5"/>
    </row>
    <row r="379" spans="2:6" ht="15.75" customHeight="1">
      <c r="B379" s="5"/>
      <c r="C379" s="5"/>
      <c r="D379" s="5"/>
      <c r="E379" s="5"/>
      <c r="F379" s="5"/>
    </row>
    <row r="380" spans="2:6" ht="15.75" customHeight="1">
      <c r="B380" s="5"/>
      <c r="C380" s="5"/>
      <c r="D380" s="5"/>
      <c r="E380" s="5"/>
      <c r="F380" s="5"/>
    </row>
    <row r="381" spans="2:6" ht="15.75" customHeight="1">
      <c r="B381" s="5"/>
      <c r="C381" s="5"/>
      <c r="D381" s="5"/>
      <c r="E381" s="5"/>
      <c r="F381" s="5"/>
    </row>
    <row r="382" spans="2:6" ht="15.75" customHeight="1">
      <c r="B382" s="5"/>
      <c r="C382" s="5"/>
      <c r="D382" s="5"/>
      <c r="E382" s="5"/>
      <c r="F382" s="5"/>
    </row>
    <row r="383" spans="2:6" ht="15.75" customHeight="1">
      <c r="B383" s="5"/>
      <c r="C383" s="5"/>
      <c r="D383" s="5"/>
      <c r="E383" s="5"/>
      <c r="F383" s="5"/>
    </row>
    <row r="384" spans="2:6" ht="15.75" customHeight="1">
      <c r="B384" s="5"/>
      <c r="C384" s="5"/>
      <c r="D384" s="5"/>
      <c r="E384" s="5"/>
      <c r="F384" s="5"/>
    </row>
    <row r="385" spans="2:6" ht="15.75" customHeight="1">
      <c r="B385" s="5"/>
      <c r="C385" s="5"/>
      <c r="D385" s="5"/>
      <c r="E385" s="5"/>
      <c r="F385" s="5"/>
    </row>
    <row r="386" spans="2:6" ht="15.75" customHeight="1">
      <c r="B386" s="5"/>
      <c r="C386" s="5"/>
      <c r="D386" s="5"/>
      <c r="E386" s="5"/>
      <c r="F386" s="5"/>
    </row>
    <row r="387" spans="2:6" ht="15.75" customHeight="1">
      <c r="B387" s="5"/>
      <c r="C387" s="5"/>
      <c r="D387" s="5"/>
      <c r="E387" s="5"/>
      <c r="F387" s="5"/>
    </row>
    <row r="388" spans="2:6" ht="15.75" customHeight="1">
      <c r="B388" s="5"/>
      <c r="C388" s="5"/>
      <c r="D388" s="5"/>
      <c r="E388" s="5"/>
      <c r="F388" s="5"/>
    </row>
    <row r="389" spans="2:6" ht="15.75" customHeight="1">
      <c r="B389" s="5"/>
      <c r="C389" s="5"/>
      <c r="D389" s="5"/>
      <c r="E389" s="5"/>
      <c r="F389" s="5"/>
    </row>
    <row r="390" spans="2:6" ht="15.75" customHeight="1">
      <c r="B390" s="5"/>
      <c r="C390" s="5"/>
      <c r="D390" s="5"/>
      <c r="E390" s="5"/>
      <c r="F390" s="5"/>
    </row>
    <row r="391" spans="2:6" ht="15.75" customHeight="1">
      <c r="B391" s="5"/>
      <c r="C391" s="5"/>
      <c r="D391" s="5"/>
      <c r="E391" s="5"/>
      <c r="F391" s="5"/>
    </row>
    <row r="392" spans="2:6" ht="15.75" customHeight="1">
      <c r="B392" s="5"/>
      <c r="C392" s="5"/>
      <c r="D392" s="5"/>
      <c r="E392" s="5"/>
      <c r="F392" s="5"/>
    </row>
    <row r="393" spans="2:6" ht="15.75" customHeight="1">
      <c r="B393" s="5"/>
      <c r="C393" s="5"/>
      <c r="D393" s="5"/>
      <c r="E393" s="5"/>
      <c r="F393" s="5"/>
    </row>
    <row r="394" spans="2:6" ht="15.75" customHeight="1">
      <c r="B394" s="5"/>
      <c r="C394" s="5"/>
      <c r="D394" s="5"/>
      <c r="E394" s="5"/>
      <c r="F394" s="5"/>
    </row>
    <row r="395" spans="2:6" ht="15.75" customHeight="1">
      <c r="B395" s="5"/>
      <c r="C395" s="5"/>
      <c r="D395" s="5"/>
      <c r="E395" s="5"/>
      <c r="F395" s="5"/>
    </row>
    <row r="396" spans="2:6" ht="15.75" customHeight="1">
      <c r="B396" s="5"/>
      <c r="C396" s="5"/>
      <c r="D396" s="5"/>
      <c r="E396" s="5"/>
      <c r="F396" s="5"/>
    </row>
    <row r="397" spans="2:6" ht="15.75" customHeight="1">
      <c r="B397" s="5"/>
      <c r="C397" s="5"/>
      <c r="D397" s="5"/>
      <c r="E397" s="5"/>
      <c r="F397" s="5"/>
    </row>
    <row r="398" spans="2:6" ht="15.75" customHeight="1">
      <c r="B398" s="5"/>
      <c r="C398" s="5"/>
      <c r="D398" s="5"/>
      <c r="E398" s="5"/>
      <c r="F398" s="5"/>
    </row>
    <row r="399" spans="2:6" ht="15.75" customHeight="1">
      <c r="B399" s="5"/>
      <c r="C399" s="5"/>
      <c r="D399" s="5"/>
      <c r="E399" s="5"/>
      <c r="F399" s="5"/>
    </row>
    <row r="400" spans="2:6" ht="15.75" customHeight="1">
      <c r="B400" s="5"/>
      <c r="C400" s="5"/>
      <c r="D400" s="5"/>
      <c r="E400" s="5"/>
      <c r="F400" s="5"/>
    </row>
    <row r="401" spans="2:6" ht="15.75" customHeight="1">
      <c r="B401" s="5"/>
      <c r="C401" s="5"/>
      <c r="D401" s="5"/>
      <c r="E401" s="5"/>
      <c r="F401" s="5"/>
    </row>
    <row r="402" spans="2:6" ht="15.75" customHeight="1">
      <c r="B402" s="5"/>
      <c r="C402" s="5"/>
      <c r="D402" s="5"/>
      <c r="E402" s="5"/>
      <c r="F402" s="5"/>
    </row>
    <row r="403" spans="2:6" ht="15.75" customHeight="1">
      <c r="B403" s="5"/>
      <c r="C403" s="5"/>
      <c r="D403" s="5"/>
      <c r="E403" s="5"/>
      <c r="F403" s="5"/>
    </row>
    <row r="404" spans="2:6" ht="15.75" customHeight="1">
      <c r="B404" s="5"/>
      <c r="C404" s="5"/>
      <c r="D404" s="5"/>
      <c r="E404" s="5"/>
      <c r="F404" s="5"/>
    </row>
    <row r="405" spans="2:6" ht="15.75" customHeight="1">
      <c r="B405" s="5"/>
      <c r="C405" s="5"/>
      <c r="D405" s="5"/>
      <c r="E405" s="5"/>
      <c r="F405" s="5"/>
    </row>
    <row r="406" spans="2:6" ht="15.75" customHeight="1">
      <c r="B406" s="5"/>
      <c r="C406" s="5"/>
      <c r="D406" s="5"/>
      <c r="E406" s="5"/>
      <c r="F406" s="5"/>
    </row>
    <row r="407" spans="2:6" ht="15.75" customHeight="1">
      <c r="B407" s="5"/>
      <c r="C407" s="5"/>
      <c r="D407" s="5"/>
      <c r="E407" s="5"/>
      <c r="F407" s="5"/>
    </row>
    <row r="408" spans="2:6" ht="15.75" customHeight="1">
      <c r="B408" s="5"/>
      <c r="C408" s="5"/>
      <c r="D408" s="5"/>
      <c r="E408" s="5"/>
      <c r="F408" s="5"/>
    </row>
    <row r="409" spans="2:6" ht="15.75" customHeight="1">
      <c r="B409" s="5"/>
      <c r="C409" s="5"/>
      <c r="D409" s="5"/>
      <c r="E409" s="5"/>
      <c r="F409" s="5"/>
    </row>
    <row r="410" spans="2:6" ht="15.75" customHeight="1">
      <c r="B410" s="5"/>
      <c r="C410" s="5"/>
      <c r="D410" s="5"/>
      <c r="E410" s="5"/>
      <c r="F410" s="5"/>
    </row>
    <row r="411" spans="2:6" ht="15.75" customHeight="1">
      <c r="B411" s="5"/>
      <c r="C411" s="5"/>
      <c r="D411" s="5"/>
      <c r="E411" s="5"/>
      <c r="F411" s="5"/>
    </row>
    <row r="412" spans="2:6" ht="15.75" customHeight="1">
      <c r="B412" s="5"/>
      <c r="C412" s="5"/>
      <c r="D412" s="5"/>
      <c r="E412" s="5"/>
      <c r="F412" s="5"/>
    </row>
    <row r="413" spans="2:6" ht="15.75" customHeight="1">
      <c r="B413" s="5"/>
      <c r="C413" s="5"/>
      <c r="D413" s="5"/>
      <c r="E413" s="5"/>
      <c r="F413" s="5"/>
    </row>
    <row r="414" spans="2:6" ht="15.75" customHeight="1">
      <c r="B414" s="5"/>
      <c r="C414" s="5"/>
      <c r="D414" s="5"/>
      <c r="E414" s="5"/>
      <c r="F414" s="5"/>
    </row>
    <row r="415" spans="2:6" ht="15.75" customHeight="1">
      <c r="B415" s="5"/>
      <c r="C415" s="5"/>
      <c r="D415" s="5"/>
      <c r="E415" s="5"/>
      <c r="F415" s="5"/>
    </row>
    <row r="416" spans="2:6" ht="15.75" customHeight="1">
      <c r="B416" s="5"/>
      <c r="C416" s="5"/>
      <c r="D416" s="5"/>
      <c r="E416" s="5"/>
      <c r="F416" s="5"/>
    </row>
    <row r="417" spans="2:6" ht="15.75" customHeight="1">
      <c r="B417" s="5"/>
      <c r="C417" s="5"/>
      <c r="D417" s="5"/>
      <c r="E417" s="5"/>
      <c r="F417" s="5"/>
    </row>
    <row r="418" spans="2:6" ht="15.75" customHeight="1">
      <c r="B418" s="5"/>
      <c r="C418" s="5"/>
      <c r="D418" s="5"/>
      <c r="E418" s="5"/>
      <c r="F418" s="5"/>
    </row>
    <row r="419" spans="2:6" ht="15.75" customHeight="1">
      <c r="B419" s="5"/>
      <c r="C419" s="5"/>
      <c r="D419" s="5"/>
      <c r="E419" s="5"/>
      <c r="F419" s="5"/>
    </row>
    <row r="420" spans="2:6" ht="15.75" customHeight="1">
      <c r="B420" s="5"/>
      <c r="C420" s="5"/>
      <c r="D420" s="5"/>
      <c r="E420" s="5"/>
      <c r="F420" s="5"/>
    </row>
    <row r="421" spans="2:6" ht="15.75" customHeight="1">
      <c r="B421" s="5"/>
      <c r="C421" s="5"/>
      <c r="D421" s="5"/>
      <c r="E421" s="5"/>
      <c r="F421" s="5"/>
    </row>
    <row r="422" spans="2:6" ht="15.75" customHeight="1">
      <c r="B422" s="5"/>
      <c r="C422" s="5"/>
      <c r="D422" s="5"/>
      <c r="E422" s="5"/>
      <c r="F422" s="5"/>
    </row>
    <row r="423" spans="2:6" ht="15.75" customHeight="1">
      <c r="B423" s="5"/>
      <c r="C423" s="5"/>
      <c r="D423" s="5"/>
      <c r="E423" s="5"/>
      <c r="F423" s="5"/>
    </row>
    <row r="424" spans="2:6" ht="15.75" customHeight="1">
      <c r="B424" s="5"/>
      <c r="C424" s="5"/>
      <c r="D424" s="5"/>
      <c r="E424" s="5"/>
      <c r="F424" s="5"/>
    </row>
    <row r="425" spans="2:6" ht="15.75" customHeight="1">
      <c r="B425" s="5"/>
      <c r="C425" s="5"/>
      <c r="D425" s="5"/>
      <c r="E425" s="5"/>
      <c r="F425" s="5"/>
    </row>
    <row r="426" spans="2:6" ht="15.75" customHeight="1">
      <c r="B426" s="5"/>
      <c r="C426" s="5"/>
      <c r="D426" s="5"/>
      <c r="E426" s="5"/>
      <c r="F426" s="5"/>
    </row>
    <row r="427" spans="2:6" ht="15.75" customHeight="1">
      <c r="B427" s="5"/>
      <c r="C427" s="5"/>
      <c r="D427" s="5"/>
      <c r="E427" s="5"/>
      <c r="F427" s="5"/>
    </row>
    <row r="428" spans="2:6" ht="15.75" customHeight="1">
      <c r="B428" s="5"/>
      <c r="C428" s="5"/>
      <c r="D428" s="5"/>
      <c r="E428" s="5"/>
      <c r="F428" s="5"/>
    </row>
    <row r="429" spans="2:6" ht="15.75" customHeight="1">
      <c r="B429" s="5"/>
      <c r="C429" s="5"/>
      <c r="D429" s="5"/>
      <c r="E429" s="5"/>
      <c r="F429" s="5"/>
    </row>
    <row r="430" spans="2:6" ht="15.75" customHeight="1">
      <c r="B430" s="5"/>
      <c r="C430" s="5"/>
      <c r="D430" s="5"/>
      <c r="E430" s="5"/>
      <c r="F430" s="5"/>
    </row>
    <row r="431" spans="2:6" ht="15.75" customHeight="1">
      <c r="B431" s="5"/>
      <c r="C431" s="5"/>
      <c r="D431" s="5"/>
      <c r="E431" s="5"/>
      <c r="F431" s="5"/>
    </row>
    <row r="432" spans="2:6" ht="15.75" customHeight="1">
      <c r="B432" s="5"/>
      <c r="C432" s="5"/>
      <c r="D432" s="5"/>
      <c r="E432" s="5"/>
      <c r="F432" s="5"/>
    </row>
    <row r="433" spans="2:6" ht="15.75" customHeight="1">
      <c r="B433" s="5"/>
      <c r="C433" s="5"/>
      <c r="D433" s="5"/>
      <c r="E433" s="5"/>
      <c r="F433" s="5"/>
    </row>
    <row r="434" spans="2:6" ht="15.75" customHeight="1">
      <c r="B434" s="5"/>
      <c r="C434" s="5"/>
      <c r="D434" s="5"/>
      <c r="E434" s="5"/>
      <c r="F434" s="5"/>
    </row>
    <row r="435" spans="2:6" ht="15.75" customHeight="1">
      <c r="B435" s="5"/>
      <c r="C435" s="5"/>
      <c r="D435" s="5"/>
      <c r="E435" s="5"/>
      <c r="F435" s="5"/>
    </row>
    <row r="436" spans="2:6" ht="15.75" customHeight="1">
      <c r="B436" s="5"/>
      <c r="C436" s="5"/>
      <c r="D436" s="5"/>
      <c r="E436" s="5"/>
      <c r="F436" s="5"/>
    </row>
    <row r="437" spans="2:6" ht="15.75" customHeight="1">
      <c r="B437" s="5"/>
      <c r="C437" s="5"/>
      <c r="D437" s="5"/>
      <c r="E437" s="5"/>
      <c r="F437" s="5"/>
    </row>
    <row r="438" spans="2:6" ht="15.75" customHeight="1">
      <c r="B438" s="5"/>
      <c r="C438" s="5"/>
      <c r="D438" s="5"/>
      <c r="E438" s="5"/>
      <c r="F438" s="5"/>
    </row>
    <row r="439" spans="2:6" ht="15.75" customHeight="1">
      <c r="B439" s="5"/>
      <c r="C439" s="5"/>
      <c r="D439" s="5"/>
      <c r="E439" s="5"/>
      <c r="F439" s="5"/>
    </row>
    <row r="440" spans="2:6" ht="15.75" customHeight="1">
      <c r="B440" s="5"/>
      <c r="C440" s="5"/>
      <c r="D440" s="5"/>
      <c r="E440" s="5"/>
      <c r="F440" s="5"/>
    </row>
    <row r="441" spans="2:6" ht="15.75" customHeight="1">
      <c r="B441" s="5"/>
      <c r="C441" s="5"/>
      <c r="D441" s="5"/>
      <c r="E441" s="5"/>
      <c r="F441" s="5"/>
    </row>
    <row r="442" spans="2:6" ht="15.75" customHeight="1">
      <c r="B442" s="5"/>
      <c r="C442" s="5"/>
      <c r="D442" s="5"/>
      <c r="E442" s="5"/>
      <c r="F442" s="5"/>
    </row>
    <row r="443" spans="2:6" ht="15.75" customHeight="1">
      <c r="B443" s="5"/>
      <c r="C443" s="5"/>
      <c r="D443" s="5"/>
      <c r="E443" s="5"/>
      <c r="F443" s="5"/>
    </row>
    <row r="444" spans="2:6" ht="15.75" customHeight="1">
      <c r="B444" s="5"/>
      <c r="C444" s="5"/>
      <c r="D444" s="5"/>
      <c r="E444" s="5"/>
      <c r="F444" s="5"/>
    </row>
    <row r="445" spans="2:6" ht="15.75" customHeight="1">
      <c r="B445" s="5"/>
      <c r="C445" s="5"/>
      <c r="D445" s="5"/>
      <c r="E445" s="5"/>
      <c r="F445" s="5"/>
    </row>
    <row r="446" spans="2:6" ht="15.75" customHeight="1">
      <c r="B446" s="5"/>
      <c r="C446" s="5"/>
      <c r="D446" s="5"/>
      <c r="E446" s="5"/>
      <c r="F446" s="5"/>
    </row>
    <row r="447" spans="2:6" ht="15.75" customHeight="1">
      <c r="B447" s="5"/>
      <c r="C447" s="5"/>
      <c r="D447" s="5"/>
      <c r="E447" s="5"/>
      <c r="F447" s="5"/>
    </row>
    <row r="448" spans="2:6" ht="15.75" customHeight="1">
      <c r="B448" s="5"/>
      <c r="C448" s="5"/>
      <c r="D448" s="5"/>
      <c r="E448" s="5"/>
      <c r="F448" s="5"/>
    </row>
    <row r="449" spans="2:6" ht="15.75" customHeight="1">
      <c r="B449" s="5"/>
      <c r="C449" s="5"/>
      <c r="D449" s="5"/>
      <c r="E449" s="5"/>
      <c r="F449" s="5"/>
    </row>
    <row r="450" spans="2:6" ht="15.75" customHeight="1">
      <c r="B450" s="5"/>
      <c r="C450" s="5"/>
      <c r="D450" s="5"/>
      <c r="E450" s="5"/>
      <c r="F450" s="5"/>
    </row>
    <row r="451" spans="2:6" ht="15.75" customHeight="1">
      <c r="B451" s="5"/>
      <c r="C451" s="5"/>
      <c r="D451" s="5"/>
      <c r="E451" s="5"/>
      <c r="F451" s="5"/>
    </row>
    <row r="452" spans="2:6" ht="15.75" customHeight="1">
      <c r="B452" s="5"/>
      <c r="C452" s="5"/>
      <c r="D452" s="5"/>
      <c r="E452" s="5"/>
      <c r="F452" s="5"/>
    </row>
    <row r="453" spans="2:6" ht="15.75" customHeight="1">
      <c r="B453" s="5"/>
      <c r="C453" s="5"/>
      <c r="D453" s="5"/>
      <c r="E453" s="5"/>
      <c r="F453" s="5"/>
    </row>
    <row r="454" spans="2:6" ht="15.75" customHeight="1">
      <c r="B454" s="5"/>
      <c r="C454" s="5"/>
      <c r="D454" s="5"/>
      <c r="E454" s="5"/>
      <c r="F454" s="5"/>
    </row>
    <row r="455" spans="2:6" ht="15.75" customHeight="1">
      <c r="B455" s="5"/>
      <c r="C455" s="5"/>
      <c r="D455" s="5"/>
      <c r="E455" s="5"/>
      <c r="F455" s="5"/>
    </row>
    <row r="456" spans="2:6" ht="15.75" customHeight="1">
      <c r="B456" s="5"/>
      <c r="C456" s="5"/>
      <c r="D456" s="5"/>
      <c r="E456" s="5"/>
      <c r="F456" s="5"/>
    </row>
    <row r="457" spans="2:6" ht="15.75" customHeight="1">
      <c r="B457" s="5"/>
      <c r="C457" s="5"/>
      <c r="D457" s="5"/>
      <c r="E457" s="5"/>
      <c r="F457" s="5"/>
    </row>
    <row r="458" spans="2:6" ht="15.75" customHeight="1">
      <c r="B458" s="5"/>
      <c r="C458" s="5"/>
      <c r="D458" s="5"/>
      <c r="E458" s="5"/>
      <c r="F458" s="5"/>
    </row>
    <row r="459" spans="2:6" ht="15.75" customHeight="1">
      <c r="B459" s="5"/>
      <c r="C459" s="5"/>
      <c r="D459" s="5"/>
      <c r="E459" s="5"/>
      <c r="F459" s="5"/>
    </row>
    <row r="460" spans="2:6" ht="15.75" customHeight="1">
      <c r="B460" s="5"/>
      <c r="C460" s="5"/>
      <c r="D460" s="5"/>
      <c r="E460" s="5"/>
      <c r="F460" s="5"/>
    </row>
    <row r="461" spans="2:6" ht="15.75" customHeight="1">
      <c r="B461" s="5"/>
      <c r="C461" s="5"/>
      <c r="D461" s="5"/>
      <c r="E461" s="5"/>
      <c r="F461" s="5"/>
    </row>
    <row r="462" spans="2:6" ht="15.75" customHeight="1">
      <c r="B462" s="5"/>
      <c r="C462" s="5"/>
      <c r="D462" s="5"/>
      <c r="E462" s="5"/>
      <c r="F462" s="5"/>
    </row>
    <row r="463" spans="2:6" ht="15.75" customHeight="1">
      <c r="B463" s="5"/>
      <c r="C463" s="5"/>
      <c r="D463" s="5"/>
      <c r="E463" s="5"/>
      <c r="F463" s="5"/>
    </row>
    <row r="464" spans="2:6" ht="15.75" customHeight="1">
      <c r="B464" s="5"/>
      <c r="C464" s="5"/>
      <c r="D464" s="5"/>
      <c r="E464" s="5"/>
      <c r="F464" s="5"/>
    </row>
    <row r="465" spans="2:6" ht="15.75" customHeight="1">
      <c r="B465" s="5"/>
      <c r="C465" s="5"/>
      <c r="D465" s="5"/>
      <c r="E465" s="5"/>
      <c r="F465" s="5"/>
    </row>
    <row r="466" spans="2:6" ht="15.75" customHeight="1">
      <c r="B466" s="5"/>
      <c r="C466" s="5"/>
      <c r="D466" s="5"/>
      <c r="E466" s="5"/>
      <c r="F466" s="5"/>
    </row>
    <row r="467" spans="2:6" ht="15.75" customHeight="1">
      <c r="B467" s="5"/>
      <c r="C467" s="5"/>
      <c r="D467" s="5"/>
      <c r="E467" s="5"/>
      <c r="F467" s="5"/>
    </row>
    <row r="468" spans="2:6" ht="15.75" customHeight="1">
      <c r="B468" s="5"/>
      <c r="C468" s="5"/>
      <c r="D468" s="5"/>
      <c r="E468" s="5"/>
      <c r="F468" s="5"/>
    </row>
    <row r="469" spans="2:6" ht="15.75" customHeight="1">
      <c r="B469" s="5"/>
      <c r="C469" s="5"/>
      <c r="D469" s="5"/>
      <c r="E469" s="5"/>
      <c r="F469" s="5"/>
    </row>
    <row r="470" spans="2:6" ht="15.75" customHeight="1">
      <c r="B470" s="5"/>
      <c r="C470" s="5"/>
      <c r="D470" s="5"/>
      <c r="E470" s="5"/>
      <c r="F470" s="5"/>
    </row>
    <row r="471" spans="2:6" ht="15.75" customHeight="1">
      <c r="B471" s="5"/>
      <c r="C471" s="5"/>
      <c r="D471" s="5"/>
      <c r="E471" s="5"/>
      <c r="F471" s="5"/>
    </row>
    <row r="472" spans="2:6" ht="15.75" customHeight="1">
      <c r="B472" s="5"/>
      <c r="C472" s="5"/>
      <c r="D472" s="5"/>
      <c r="E472" s="5"/>
      <c r="F472" s="5"/>
    </row>
    <row r="473" spans="2:6" ht="15.75" customHeight="1">
      <c r="B473" s="5"/>
      <c r="C473" s="5"/>
      <c r="D473" s="5"/>
      <c r="E473" s="5"/>
      <c r="F473" s="5"/>
    </row>
    <row r="474" spans="2:6" ht="15.75" customHeight="1">
      <c r="B474" s="5"/>
      <c r="C474" s="5"/>
      <c r="D474" s="5"/>
      <c r="E474" s="5"/>
      <c r="F474" s="5"/>
    </row>
    <row r="475" spans="2:6" ht="15.75" customHeight="1">
      <c r="B475" s="5"/>
      <c r="C475" s="5"/>
      <c r="D475" s="5"/>
      <c r="E475" s="5"/>
      <c r="F475" s="5"/>
    </row>
    <row r="476" spans="2:6" ht="15.75" customHeight="1">
      <c r="B476" s="5"/>
      <c r="C476" s="5"/>
      <c r="D476" s="5"/>
      <c r="E476" s="5"/>
      <c r="F476" s="5"/>
    </row>
    <row r="477" spans="2:6" ht="15.75" customHeight="1">
      <c r="B477" s="5"/>
      <c r="C477" s="5"/>
      <c r="D477" s="5"/>
      <c r="E477" s="5"/>
      <c r="F477" s="5"/>
    </row>
    <row r="478" spans="2:6" ht="15.75" customHeight="1">
      <c r="B478" s="5"/>
      <c r="C478" s="5"/>
      <c r="D478" s="5"/>
      <c r="E478" s="5"/>
      <c r="F478" s="5"/>
    </row>
    <row r="479" spans="2:6" ht="15.75" customHeight="1">
      <c r="B479" s="5"/>
      <c r="C479" s="5"/>
      <c r="D479" s="5"/>
      <c r="E479" s="5"/>
      <c r="F479" s="5"/>
    </row>
    <row r="480" spans="2:6" ht="15.75" customHeight="1">
      <c r="B480" s="5"/>
      <c r="C480" s="5"/>
      <c r="D480" s="5"/>
      <c r="E480" s="5"/>
      <c r="F480" s="5"/>
    </row>
    <row r="481" spans="2:6" ht="15.75" customHeight="1">
      <c r="B481" s="5"/>
      <c r="C481" s="5"/>
      <c r="D481" s="5"/>
      <c r="E481" s="5"/>
      <c r="F481" s="5"/>
    </row>
    <row r="482" spans="2:6" ht="15.75" customHeight="1">
      <c r="B482" s="5"/>
      <c r="C482" s="5"/>
      <c r="D482" s="5"/>
      <c r="E482" s="5"/>
      <c r="F482" s="5"/>
    </row>
    <row r="483" spans="2:6" ht="15.75" customHeight="1">
      <c r="B483" s="5"/>
      <c r="C483" s="5"/>
      <c r="D483" s="5"/>
      <c r="E483" s="5"/>
      <c r="F483" s="5"/>
    </row>
    <row r="484" spans="2:6" ht="15.75" customHeight="1">
      <c r="B484" s="5"/>
      <c r="C484" s="5"/>
      <c r="D484" s="5"/>
      <c r="E484" s="5"/>
      <c r="F484" s="5"/>
    </row>
    <row r="485" spans="2:6" ht="15.75" customHeight="1">
      <c r="B485" s="5"/>
      <c r="C485" s="5"/>
      <c r="D485" s="5"/>
      <c r="E485" s="5"/>
      <c r="F485" s="5"/>
    </row>
    <row r="486" spans="2:6" ht="15.75" customHeight="1">
      <c r="B486" s="5"/>
      <c r="C486" s="5"/>
      <c r="D486" s="5"/>
      <c r="E486" s="5"/>
      <c r="F486" s="5"/>
    </row>
    <row r="487" spans="2:6" ht="15.75" customHeight="1">
      <c r="B487" s="5"/>
      <c r="C487" s="5"/>
      <c r="D487" s="5"/>
      <c r="E487" s="5"/>
      <c r="F487" s="5"/>
    </row>
    <row r="488" spans="2:6" ht="15.75" customHeight="1">
      <c r="B488" s="5"/>
      <c r="C488" s="5"/>
      <c r="D488" s="5"/>
      <c r="E488" s="5"/>
      <c r="F488" s="5"/>
    </row>
    <row r="489" spans="2:6" ht="15.75" customHeight="1">
      <c r="B489" s="5"/>
      <c r="C489" s="5"/>
      <c r="D489" s="5"/>
      <c r="E489" s="5"/>
      <c r="F489" s="5"/>
    </row>
    <row r="490" spans="2:6" ht="15.75" customHeight="1">
      <c r="B490" s="5"/>
      <c r="C490" s="5"/>
      <c r="D490" s="5"/>
      <c r="E490" s="5"/>
      <c r="F490" s="5"/>
    </row>
    <row r="491" spans="2:6" ht="15.75" customHeight="1">
      <c r="B491" s="5"/>
      <c r="C491" s="5"/>
      <c r="D491" s="5"/>
      <c r="E491" s="5"/>
      <c r="F491" s="5"/>
    </row>
    <row r="492" spans="2:6" ht="15.75" customHeight="1">
      <c r="B492" s="5"/>
      <c r="C492" s="5"/>
      <c r="D492" s="5"/>
      <c r="E492" s="5"/>
      <c r="F492" s="5"/>
    </row>
    <row r="493" spans="2:6" ht="15.75" customHeight="1">
      <c r="B493" s="5"/>
      <c r="C493" s="5"/>
      <c r="D493" s="5"/>
      <c r="E493" s="5"/>
      <c r="F493" s="5"/>
    </row>
    <row r="494" spans="2:6" ht="15.75" customHeight="1">
      <c r="B494" s="5"/>
      <c r="C494" s="5"/>
      <c r="D494" s="5"/>
      <c r="E494" s="5"/>
      <c r="F494" s="5"/>
    </row>
    <row r="495" spans="2:6" ht="15.75" customHeight="1">
      <c r="B495" s="5"/>
      <c r="C495" s="5"/>
      <c r="D495" s="5"/>
      <c r="E495" s="5"/>
      <c r="F495" s="5"/>
    </row>
    <row r="496" spans="2:6" ht="15.75" customHeight="1">
      <c r="B496" s="5"/>
      <c r="C496" s="5"/>
      <c r="D496" s="5"/>
      <c r="E496" s="5"/>
      <c r="F496" s="5"/>
    </row>
    <row r="497" spans="2:6" ht="15.75" customHeight="1">
      <c r="B497" s="5"/>
      <c r="C497" s="5"/>
      <c r="D497" s="5"/>
      <c r="E497" s="5"/>
      <c r="F497" s="5"/>
    </row>
    <row r="498" spans="2:6" ht="15.75" customHeight="1">
      <c r="B498" s="5"/>
      <c r="C498" s="5"/>
      <c r="D498" s="5"/>
      <c r="E498" s="5"/>
      <c r="F498" s="5"/>
    </row>
    <row r="499" spans="2:6" ht="15.75" customHeight="1">
      <c r="B499" s="5"/>
      <c r="C499" s="5"/>
      <c r="D499" s="5"/>
      <c r="E499" s="5"/>
      <c r="F499" s="5"/>
    </row>
    <row r="500" spans="2:6" ht="15.75" customHeight="1">
      <c r="B500" s="5"/>
      <c r="C500" s="5"/>
      <c r="D500" s="5"/>
      <c r="E500" s="5"/>
      <c r="F500" s="5"/>
    </row>
    <row r="501" spans="2:6" ht="15.75" customHeight="1">
      <c r="B501" s="5"/>
      <c r="C501" s="5"/>
      <c r="D501" s="5"/>
      <c r="E501" s="5"/>
      <c r="F501" s="5"/>
    </row>
    <row r="502" spans="2:6" ht="15.75" customHeight="1">
      <c r="B502" s="5"/>
      <c r="C502" s="5"/>
      <c r="D502" s="5"/>
      <c r="E502" s="5"/>
      <c r="F502" s="5"/>
    </row>
    <row r="503" spans="2:6" ht="15.75" customHeight="1">
      <c r="B503" s="5"/>
      <c r="C503" s="5"/>
      <c r="D503" s="5"/>
      <c r="E503" s="5"/>
      <c r="F503" s="5"/>
    </row>
    <row r="504" spans="2:6" ht="15.75" customHeight="1">
      <c r="B504" s="5"/>
      <c r="C504" s="5"/>
      <c r="D504" s="5"/>
      <c r="E504" s="5"/>
      <c r="F504" s="5"/>
    </row>
    <row r="505" spans="2:6" ht="15.75" customHeight="1">
      <c r="B505" s="5"/>
      <c r="C505" s="5"/>
      <c r="D505" s="5"/>
      <c r="E505" s="5"/>
      <c r="F505" s="5"/>
    </row>
    <row r="506" spans="2:6" ht="15.75" customHeight="1">
      <c r="B506" s="5"/>
      <c r="C506" s="5"/>
      <c r="D506" s="5"/>
      <c r="E506" s="5"/>
      <c r="F506" s="5"/>
    </row>
    <row r="507" spans="2:6" ht="15.75" customHeight="1">
      <c r="B507" s="5"/>
      <c r="C507" s="5"/>
      <c r="D507" s="5"/>
      <c r="E507" s="5"/>
      <c r="F507" s="5"/>
    </row>
    <row r="508" spans="2:6" ht="15.75" customHeight="1">
      <c r="B508" s="5"/>
      <c r="C508" s="5"/>
      <c r="D508" s="5"/>
      <c r="E508" s="5"/>
      <c r="F508" s="5"/>
    </row>
    <row r="509" spans="2:6" ht="15.75" customHeight="1">
      <c r="B509" s="5"/>
      <c r="C509" s="5"/>
      <c r="D509" s="5"/>
      <c r="E509" s="5"/>
      <c r="F509" s="5"/>
    </row>
    <row r="510" spans="2:6" ht="15.75" customHeight="1">
      <c r="B510" s="5"/>
      <c r="C510" s="5"/>
      <c r="D510" s="5"/>
      <c r="E510" s="5"/>
      <c r="F510" s="5"/>
    </row>
    <row r="511" spans="2:6" ht="15.75" customHeight="1">
      <c r="B511" s="5"/>
      <c r="C511" s="5"/>
      <c r="D511" s="5"/>
      <c r="E511" s="5"/>
      <c r="F511" s="5"/>
    </row>
    <row r="512" spans="2:6" ht="15.75" customHeight="1">
      <c r="B512" s="5"/>
      <c r="C512" s="5"/>
      <c r="D512" s="5"/>
      <c r="E512" s="5"/>
      <c r="F512" s="5"/>
    </row>
    <row r="513" spans="2:6" ht="15.75" customHeight="1">
      <c r="B513" s="5"/>
      <c r="C513" s="5"/>
      <c r="D513" s="5"/>
      <c r="E513" s="5"/>
      <c r="F513" s="5"/>
    </row>
    <row r="514" spans="2:6" ht="15.75" customHeight="1">
      <c r="B514" s="5"/>
      <c r="C514" s="5"/>
      <c r="D514" s="5"/>
      <c r="E514" s="5"/>
      <c r="F514" s="5"/>
    </row>
    <row r="515" spans="2:6" ht="15.75" customHeight="1">
      <c r="B515" s="5"/>
      <c r="C515" s="5"/>
      <c r="D515" s="5"/>
      <c r="E515" s="5"/>
      <c r="F515" s="5"/>
    </row>
    <row r="516" spans="2:6" ht="15.75" customHeight="1">
      <c r="B516" s="5"/>
      <c r="C516" s="5"/>
      <c r="D516" s="5"/>
      <c r="E516" s="5"/>
      <c r="F516" s="5"/>
    </row>
    <row r="517" spans="2:6" ht="15.75" customHeight="1">
      <c r="B517" s="5"/>
      <c r="C517" s="5"/>
      <c r="D517" s="5"/>
      <c r="E517" s="5"/>
      <c r="F517" s="5"/>
    </row>
    <row r="518" spans="2:6" ht="15.75" customHeight="1">
      <c r="B518" s="5"/>
      <c r="C518" s="5"/>
      <c r="D518" s="5"/>
      <c r="E518" s="5"/>
      <c r="F518" s="5"/>
    </row>
    <row r="519" spans="2:6" ht="15.75" customHeight="1">
      <c r="B519" s="5"/>
      <c r="C519" s="5"/>
      <c r="D519" s="5"/>
      <c r="E519" s="5"/>
      <c r="F519" s="5"/>
    </row>
    <row r="520" spans="2:6" ht="15.75" customHeight="1">
      <c r="B520" s="5"/>
      <c r="C520" s="5"/>
      <c r="D520" s="5"/>
      <c r="E520" s="5"/>
      <c r="F520" s="5"/>
    </row>
    <row r="521" spans="2:6" ht="15.75" customHeight="1">
      <c r="B521" s="5"/>
      <c r="C521" s="5"/>
      <c r="D521" s="5"/>
      <c r="E521" s="5"/>
      <c r="F521" s="5"/>
    </row>
    <row r="522" spans="2:6" ht="15.75" customHeight="1">
      <c r="B522" s="5"/>
      <c r="C522" s="5"/>
      <c r="D522" s="5"/>
      <c r="E522" s="5"/>
      <c r="F522" s="5"/>
    </row>
    <row r="523" spans="2:6" ht="15.75" customHeight="1">
      <c r="B523" s="5"/>
      <c r="C523" s="5"/>
      <c r="D523" s="5"/>
      <c r="E523" s="5"/>
      <c r="F523" s="5"/>
    </row>
    <row r="524" spans="2:6" ht="15.75" customHeight="1">
      <c r="B524" s="5"/>
      <c r="C524" s="5"/>
      <c r="D524" s="5"/>
      <c r="E524" s="5"/>
      <c r="F524" s="5"/>
    </row>
    <row r="525" spans="2:6" ht="15.75" customHeight="1">
      <c r="B525" s="5"/>
      <c r="C525" s="5"/>
      <c r="D525" s="5"/>
      <c r="E525" s="5"/>
      <c r="F525" s="5"/>
    </row>
    <row r="526" spans="2:6" ht="15.75" customHeight="1">
      <c r="B526" s="5"/>
      <c r="C526" s="5"/>
      <c r="D526" s="5"/>
      <c r="E526" s="5"/>
      <c r="F526" s="5"/>
    </row>
    <row r="527" spans="2:6" ht="15.75" customHeight="1">
      <c r="B527" s="5"/>
      <c r="C527" s="5"/>
      <c r="D527" s="5"/>
      <c r="E527" s="5"/>
      <c r="F527" s="5"/>
    </row>
    <row r="528" spans="2:6" ht="15.75" customHeight="1">
      <c r="B528" s="5"/>
      <c r="C528" s="5"/>
      <c r="D528" s="5"/>
      <c r="E528" s="5"/>
      <c r="F528" s="5"/>
    </row>
    <row r="529" spans="2:6" ht="15.75" customHeight="1">
      <c r="B529" s="5"/>
      <c r="C529" s="5"/>
      <c r="D529" s="5"/>
      <c r="E529" s="5"/>
      <c r="F529" s="5"/>
    </row>
    <row r="530" spans="2:6" ht="15.75" customHeight="1">
      <c r="B530" s="5"/>
      <c r="C530" s="5"/>
      <c r="D530" s="5"/>
      <c r="E530" s="5"/>
      <c r="F530" s="5"/>
    </row>
    <row r="531" spans="2:6" ht="15.75" customHeight="1">
      <c r="B531" s="5"/>
      <c r="C531" s="5"/>
      <c r="D531" s="5"/>
      <c r="E531" s="5"/>
      <c r="F531" s="5"/>
    </row>
    <row r="532" spans="2:6" ht="15.75" customHeight="1">
      <c r="B532" s="5"/>
      <c r="C532" s="5"/>
      <c r="D532" s="5"/>
      <c r="E532" s="5"/>
      <c r="F532" s="5"/>
    </row>
    <row r="533" spans="2:6" ht="15.75" customHeight="1">
      <c r="B533" s="5"/>
      <c r="C533" s="5"/>
      <c r="D533" s="5"/>
      <c r="E533" s="5"/>
      <c r="F533" s="5"/>
    </row>
    <row r="534" spans="2:6" ht="15.75" customHeight="1">
      <c r="B534" s="5"/>
      <c r="C534" s="5"/>
      <c r="D534" s="5"/>
      <c r="E534" s="5"/>
      <c r="F534" s="5"/>
    </row>
    <row r="535" spans="2:6" ht="15.75" customHeight="1">
      <c r="B535" s="5"/>
      <c r="C535" s="5"/>
      <c r="D535" s="5"/>
      <c r="E535" s="5"/>
      <c r="F535" s="5"/>
    </row>
    <row r="536" spans="2:6" ht="15.75" customHeight="1">
      <c r="B536" s="5"/>
      <c r="C536" s="5"/>
      <c r="D536" s="5"/>
      <c r="E536" s="5"/>
      <c r="F536" s="5"/>
    </row>
    <row r="537" spans="2:6" ht="15.75" customHeight="1">
      <c r="B537" s="5"/>
      <c r="C537" s="5"/>
      <c r="D537" s="5"/>
      <c r="E537" s="5"/>
      <c r="F537" s="5"/>
    </row>
    <row r="538" spans="2:6" ht="15.75" customHeight="1">
      <c r="B538" s="5"/>
      <c r="C538" s="5"/>
      <c r="D538" s="5"/>
      <c r="E538" s="5"/>
      <c r="F538" s="5"/>
    </row>
    <row r="539" spans="2:6" ht="15.75" customHeight="1">
      <c r="B539" s="5"/>
      <c r="C539" s="5"/>
      <c r="D539" s="5"/>
      <c r="E539" s="5"/>
      <c r="F539" s="5"/>
    </row>
    <row r="540" spans="2:6" ht="15.75" customHeight="1">
      <c r="B540" s="5"/>
      <c r="C540" s="5"/>
      <c r="D540" s="5"/>
      <c r="E540" s="5"/>
      <c r="F540" s="5"/>
    </row>
    <row r="541" spans="2:6" ht="15.75" customHeight="1">
      <c r="B541" s="5"/>
      <c r="C541" s="5"/>
      <c r="D541" s="5"/>
      <c r="E541" s="5"/>
      <c r="F541" s="5"/>
    </row>
    <row r="542" spans="2:6" ht="15.75" customHeight="1">
      <c r="B542" s="5"/>
      <c r="C542" s="5"/>
      <c r="D542" s="5"/>
      <c r="E542" s="5"/>
      <c r="F542" s="5"/>
    </row>
    <row r="543" spans="2:6" ht="15.75" customHeight="1">
      <c r="B543" s="5"/>
      <c r="C543" s="5"/>
      <c r="D543" s="5"/>
      <c r="E543" s="5"/>
      <c r="F543" s="5"/>
    </row>
    <row r="544" spans="2:6" ht="15.75" customHeight="1">
      <c r="B544" s="5"/>
      <c r="C544" s="5"/>
      <c r="D544" s="5"/>
      <c r="E544" s="5"/>
      <c r="F544" s="5"/>
    </row>
    <row r="545" spans="2:6" ht="15.75" customHeight="1">
      <c r="B545" s="5"/>
      <c r="C545" s="5"/>
      <c r="D545" s="5"/>
      <c r="E545" s="5"/>
      <c r="F545" s="5"/>
    </row>
    <row r="546" spans="2:6" ht="15.75" customHeight="1">
      <c r="B546" s="5"/>
      <c r="C546" s="5"/>
      <c r="D546" s="5"/>
      <c r="E546" s="5"/>
      <c r="F546" s="5"/>
    </row>
    <row r="547" spans="2:6" ht="15.75" customHeight="1">
      <c r="B547" s="5"/>
      <c r="C547" s="5"/>
      <c r="D547" s="5"/>
      <c r="E547" s="5"/>
      <c r="F547" s="5"/>
    </row>
    <row r="548" spans="2:6" ht="15.75" customHeight="1">
      <c r="B548" s="5"/>
      <c r="C548" s="5"/>
      <c r="D548" s="5"/>
      <c r="E548" s="5"/>
      <c r="F548" s="5"/>
    </row>
    <row r="549" spans="2:6" ht="15.75" customHeight="1">
      <c r="B549" s="5"/>
      <c r="C549" s="5"/>
      <c r="D549" s="5"/>
      <c r="E549" s="5"/>
      <c r="F549" s="5"/>
    </row>
    <row r="550" spans="2:6" ht="15.75" customHeight="1">
      <c r="B550" s="5"/>
      <c r="C550" s="5"/>
      <c r="D550" s="5"/>
      <c r="E550" s="5"/>
      <c r="F550" s="5"/>
    </row>
    <row r="551" spans="2:6" ht="15.75" customHeight="1">
      <c r="B551" s="5"/>
      <c r="C551" s="5"/>
      <c r="D551" s="5"/>
      <c r="E551" s="5"/>
      <c r="F551" s="5"/>
    </row>
    <row r="552" spans="2:6" ht="15.75" customHeight="1">
      <c r="B552" s="5"/>
      <c r="C552" s="5"/>
      <c r="D552" s="5"/>
      <c r="E552" s="5"/>
      <c r="F552" s="5"/>
    </row>
    <row r="553" spans="2:6" ht="15.75" customHeight="1">
      <c r="B553" s="5"/>
      <c r="C553" s="5"/>
      <c r="D553" s="5"/>
      <c r="E553" s="5"/>
      <c r="F553" s="5"/>
    </row>
    <row r="554" spans="2:6" ht="15.75" customHeight="1">
      <c r="B554" s="5"/>
      <c r="C554" s="5"/>
      <c r="D554" s="5"/>
      <c r="E554" s="5"/>
      <c r="F554" s="5"/>
    </row>
    <row r="555" spans="2:6" ht="15.75" customHeight="1">
      <c r="B555" s="5"/>
      <c r="C555" s="5"/>
      <c r="D555" s="5"/>
      <c r="E555" s="5"/>
      <c r="F555" s="5"/>
    </row>
    <row r="556" spans="2:6" ht="15.75" customHeight="1">
      <c r="B556" s="5"/>
      <c r="C556" s="5"/>
      <c r="D556" s="5"/>
      <c r="E556" s="5"/>
      <c r="F556" s="5"/>
    </row>
    <row r="557" spans="2:6" ht="15.75" customHeight="1">
      <c r="B557" s="5"/>
      <c r="C557" s="5"/>
      <c r="D557" s="5"/>
      <c r="E557" s="5"/>
      <c r="F557" s="5"/>
    </row>
    <row r="558" spans="2:6" ht="15.75" customHeight="1">
      <c r="B558" s="5"/>
      <c r="C558" s="5"/>
      <c r="D558" s="5"/>
      <c r="E558" s="5"/>
      <c r="F558" s="5"/>
    </row>
    <row r="559" spans="2:6" ht="15.75" customHeight="1">
      <c r="B559" s="5"/>
      <c r="C559" s="5"/>
      <c r="D559" s="5"/>
      <c r="E559" s="5"/>
      <c r="F559" s="5"/>
    </row>
    <row r="560" spans="2:6" ht="15.75" customHeight="1">
      <c r="B560" s="5"/>
      <c r="C560" s="5"/>
      <c r="D560" s="5"/>
      <c r="E560" s="5"/>
      <c r="F560" s="5"/>
    </row>
    <row r="561" spans="2:6" ht="15.75" customHeight="1">
      <c r="B561" s="5"/>
      <c r="C561" s="5"/>
      <c r="D561" s="5"/>
      <c r="E561" s="5"/>
      <c r="F561" s="5"/>
    </row>
    <row r="562" spans="2:6" ht="15.75" customHeight="1">
      <c r="B562" s="5"/>
      <c r="C562" s="5"/>
      <c r="D562" s="5"/>
      <c r="E562" s="5"/>
      <c r="F562" s="5"/>
    </row>
    <row r="563" spans="2:6" ht="15.75" customHeight="1">
      <c r="B563" s="5"/>
      <c r="C563" s="5"/>
      <c r="D563" s="5"/>
      <c r="E563" s="5"/>
      <c r="F563" s="5"/>
    </row>
    <row r="564" spans="2:6" ht="15.75" customHeight="1">
      <c r="B564" s="5"/>
      <c r="C564" s="5"/>
      <c r="D564" s="5"/>
      <c r="E564" s="5"/>
      <c r="F564" s="5"/>
    </row>
    <row r="565" spans="2:6" ht="15.75" customHeight="1">
      <c r="B565" s="5"/>
      <c r="C565" s="5"/>
      <c r="D565" s="5"/>
      <c r="E565" s="5"/>
      <c r="F565" s="5"/>
    </row>
    <row r="566" spans="2:6" ht="15.75" customHeight="1">
      <c r="B566" s="5"/>
      <c r="C566" s="5"/>
      <c r="D566" s="5"/>
      <c r="E566" s="5"/>
      <c r="F566" s="5"/>
    </row>
    <row r="567" spans="2:6" ht="15.75" customHeight="1">
      <c r="B567" s="5"/>
      <c r="C567" s="5"/>
      <c r="D567" s="5"/>
      <c r="E567" s="5"/>
      <c r="F567" s="5"/>
    </row>
    <row r="568" spans="2:6" ht="15.75" customHeight="1">
      <c r="B568" s="5"/>
      <c r="C568" s="5"/>
      <c r="D568" s="5"/>
      <c r="E568" s="5"/>
      <c r="F568" s="5"/>
    </row>
    <row r="569" spans="2:6" ht="15.75" customHeight="1">
      <c r="B569" s="5"/>
      <c r="C569" s="5"/>
      <c r="D569" s="5"/>
      <c r="E569" s="5"/>
      <c r="F569" s="5"/>
    </row>
    <row r="570" spans="2:6" ht="15.75" customHeight="1">
      <c r="B570" s="5"/>
      <c r="C570" s="5"/>
      <c r="D570" s="5"/>
      <c r="E570" s="5"/>
      <c r="F570" s="5"/>
    </row>
    <row r="571" spans="2:6" ht="15.75" customHeight="1">
      <c r="B571" s="5"/>
      <c r="C571" s="5"/>
      <c r="D571" s="5"/>
      <c r="E571" s="5"/>
      <c r="F571" s="5"/>
    </row>
    <row r="572" spans="2:6" ht="15.75" customHeight="1">
      <c r="B572" s="5"/>
      <c r="C572" s="5"/>
      <c r="D572" s="5"/>
      <c r="E572" s="5"/>
      <c r="F572" s="5"/>
    </row>
    <row r="573" spans="2:6" ht="15.75" customHeight="1">
      <c r="B573" s="5"/>
      <c r="C573" s="5"/>
      <c r="D573" s="5"/>
      <c r="E573" s="5"/>
      <c r="F573" s="5"/>
    </row>
    <row r="574" spans="2:6" ht="15.75" customHeight="1">
      <c r="B574" s="5"/>
      <c r="C574" s="5"/>
      <c r="D574" s="5"/>
      <c r="E574" s="5"/>
      <c r="F574" s="5"/>
    </row>
    <row r="575" spans="2:6" ht="15.75" customHeight="1">
      <c r="B575" s="5"/>
      <c r="C575" s="5"/>
      <c r="D575" s="5"/>
      <c r="E575" s="5"/>
      <c r="F575" s="5"/>
    </row>
    <row r="576" spans="2:6" ht="15.75" customHeight="1">
      <c r="B576" s="5"/>
      <c r="C576" s="5"/>
      <c r="D576" s="5"/>
      <c r="E576" s="5"/>
      <c r="F576" s="5"/>
    </row>
    <row r="577" spans="2:6" ht="15.75" customHeight="1">
      <c r="B577" s="5"/>
      <c r="C577" s="5"/>
      <c r="D577" s="5"/>
      <c r="E577" s="5"/>
      <c r="F577" s="5"/>
    </row>
    <row r="578" spans="2:6" ht="15.75" customHeight="1">
      <c r="B578" s="5"/>
      <c r="C578" s="5"/>
      <c r="D578" s="5"/>
      <c r="E578" s="5"/>
      <c r="F578" s="5"/>
    </row>
    <row r="579" spans="2:6" ht="15.75" customHeight="1">
      <c r="B579" s="5"/>
      <c r="C579" s="5"/>
      <c r="D579" s="5"/>
      <c r="E579" s="5"/>
      <c r="F579" s="5"/>
    </row>
    <row r="580" spans="2:6" ht="15.75" customHeight="1">
      <c r="B580" s="5"/>
      <c r="C580" s="5"/>
      <c r="D580" s="5"/>
      <c r="E580" s="5"/>
      <c r="F580" s="5"/>
    </row>
    <row r="581" spans="2:6" ht="15.75" customHeight="1">
      <c r="B581" s="5"/>
      <c r="C581" s="5"/>
      <c r="D581" s="5"/>
      <c r="E581" s="5"/>
      <c r="F581" s="5"/>
    </row>
    <row r="582" spans="2:6" ht="15.75" customHeight="1">
      <c r="B582" s="5"/>
      <c r="C582" s="5"/>
      <c r="D582" s="5"/>
      <c r="E582" s="5"/>
      <c r="F582" s="5"/>
    </row>
    <row r="583" spans="2:6" ht="15.75" customHeight="1">
      <c r="B583" s="5"/>
      <c r="C583" s="5"/>
      <c r="D583" s="5"/>
      <c r="E583" s="5"/>
      <c r="F583" s="5"/>
    </row>
    <row r="584" spans="2:6" ht="15.75" customHeight="1">
      <c r="B584" s="5"/>
      <c r="C584" s="5"/>
      <c r="D584" s="5"/>
      <c r="E584" s="5"/>
      <c r="F584" s="5"/>
    </row>
    <row r="585" spans="2:6" ht="15.75" customHeight="1">
      <c r="B585" s="5"/>
      <c r="C585" s="5"/>
      <c r="D585" s="5"/>
      <c r="E585" s="5"/>
      <c r="F585" s="5"/>
    </row>
    <row r="586" spans="2:6" ht="15.75" customHeight="1">
      <c r="B586" s="5"/>
      <c r="C586" s="5"/>
      <c r="D586" s="5"/>
      <c r="E586" s="5"/>
      <c r="F586" s="5"/>
    </row>
    <row r="587" spans="2:6" ht="15.75" customHeight="1">
      <c r="B587" s="5"/>
      <c r="C587" s="5"/>
      <c r="D587" s="5"/>
      <c r="E587" s="5"/>
      <c r="F587" s="5"/>
    </row>
    <row r="588" spans="2:6" ht="15.75" customHeight="1">
      <c r="B588" s="5"/>
      <c r="C588" s="5"/>
      <c r="D588" s="5"/>
      <c r="E588" s="5"/>
      <c r="F588" s="5"/>
    </row>
    <row r="589" spans="2:6" ht="15.75" customHeight="1">
      <c r="B589" s="5"/>
      <c r="C589" s="5"/>
      <c r="D589" s="5"/>
      <c r="E589" s="5"/>
      <c r="F589" s="5"/>
    </row>
    <row r="590" spans="2:6" ht="15.75" customHeight="1">
      <c r="B590" s="5"/>
      <c r="C590" s="5"/>
      <c r="D590" s="5"/>
      <c r="E590" s="5"/>
      <c r="F590" s="5"/>
    </row>
    <row r="591" spans="2:6" ht="15.75" customHeight="1">
      <c r="B591" s="5"/>
      <c r="C591" s="5"/>
      <c r="D591" s="5"/>
      <c r="E591" s="5"/>
      <c r="F591" s="5"/>
    </row>
    <row r="592" spans="2:6" ht="15.75" customHeight="1">
      <c r="B592" s="5"/>
      <c r="C592" s="5"/>
      <c r="D592" s="5"/>
      <c r="E592" s="5"/>
      <c r="F592" s="5"/>
    </row>
    <row r="593" spans="2:6" ht="15.75" customHeight="1">
      <c r="B593" s="5"/>
      <c r="C593" s="5"/>
      <c r="D593" s="5"/>
      <c r="E593" s="5"/>
      <c r="F593" s="5"/>
    </row>
    <row r="594" spans="2:6" ht="15.75" customHeight="1">
      <c r="B594" s="5"/>
      <c r="C594" s="5"/>
      <c r="D594" s="5"/>
      <c r="E594" s="5"/>
      <c r="F594" s="5"/>
    </row>
    <row r="595" spans="2:6" ht="15.75" customHeight="1">
      <c r="B595" s="5"/>
      <c r="C595" s="5"/>
      <c r="D595" s="5"/>
      <c r="E595" s="5"/>
      <c r="F595" s="5"/>
    </row>
    <row r="596" spans="2:6" ht="15.75" customHeight="1">
      <c r="B596" s="5"/>
      <c r="C596" s="5"/>
      <c r="D596" s="5"/>
      <c r="E596" s="5"/>
      <c r="F596" s="5"/>
    </row>
    <row r="597" spans="2:6" ht="15.75" customHeight="1">
      <c r="B597" s="5"/>
      <c r="C597" s="5"/>
      <c r="D597" s="5"/>
      <c r="E597" s="5"/>
      <c r="F597" s="5"/>
    </row>
    <row r="598" spans="2:6" ht="15.75" customHeight="1">
      <c r="B598" s="5"/>
      <c r="C598" s="5"/>
      <c r="D598" s="5"/>
      <c r="E598" s="5"/>
      <c r="F598" s="5"/>
    </row>
    <row r="599" spans="2:6" ht="15.75" customHeight="1">
      <c r="B599" s="5"/>
      <c r="C599" s="5"/>
      <c r="D599" s="5"/>
      <c r="E599" s="5"/>
      <c r="F599" s="5"/>
    </row>
    <row r="600" spans="2:6" ht="15.75" customHeight="1">
      <c r="B600" s="5"/>
      <c r="C600" s="5"/>
      <c r="D600" s="5"/>
      <c r="E600" s="5"/>
      <c r="F600" s="5"/>
    </row>
    <row r="601" spans="2:6" ht="15.75" customHeight="1">
      <c r="B601" s="5"/>
      <c r="C601" s="5"/>
      <c r="D601" s="5"/>
      <c r="E601" s="5"/>
      <c r="F601" s="5"/>
    </row>
    <row r="602" spans="2:6" ht="15.75" customHeight="1">
      <c r="B602" s="5"/>
      <c r="C602" s="5"/>
      <c r="D602" s="5"/>
      <c r="E602" s="5"/>
      <c r="F602" s="5"/>
    </row>
    <row r="603" spans="2:6" ht="15.75" customHeight="1">
      <c r="B603" s="5"/>
      <c r="C603" s="5"/>
      <c r="D603" s="5"/>
      <c r="E603" s="5"/>
      <c r="F603" s="5"/>
    </row>
    <row r="604" spans="2:6" ht="15.75" customHeight="1">
      <c r="B604" s="5"/>
      <c r="C604" s="5"/>
      <c r="D604" s="5"/>
      <c r="E604" s="5"/>
      <c r="F604" s="5"/>
    </row>
    <row r="605" spans="2:6" ht="15.75" customHeight="1">
      <c r="B605" s="5"/>
      <c r="C605" s="5"/>
      <c r="D605" s="5"/>
      <c r="E605" s="5"/>
      <c r="F605" s="5"/>
    </row>
    <row r="606" spans="2:6" ht="15.75" customHeight="1">
      <c r="B606" s="5"/>
      <c r="C606" s="5"/>
      <c r="D606" s="5"/>
      <c r="E606" s="5"/>
      <c r="F606" s="5"/>
    </row>
    <row r="607" spans="2:6" ht="15.75" customHeight="1">
      <c r="B607" s="5"/>
      <c r="C607" s="5"/>
      <c r="D607" s="5"/>
      <c r="E607" s="5"/>
      <c r="F607" s="5"/>
    </row>
    <row r="608" spans="2:6" ht="15.75" customHeight="1">
      <c r="B608" s="5"/>
      <c r="C608" s="5"/>
      <c r="D608" s="5"/>
      <c r="E608" s="5"/>
      <c r="F608" s="5"/>
    </row>
    <row r="609" spans="2:6" ht="15.75" customHeight="1">
      <c r="B609" s="5"/>
      <c r="C609" s="5"/>
      <c r="D609" s="5"/>
      <c r="E609" s="5"/>
      <c r="F609" s="5"/>
    </row>
    <row r="610" spans="2:6" ht="15.75" customHeight="1">
      <c r="B610" s="5"/>
      <c r="C610" s="5"/>
      <c r="D610" s="5"/>
      <c r="E610" s="5"/>
      <c r="F610" s="5"/>
    </row>
    <row r="611" spans="2:6" ht="15.75" customHeight="1">
      <c r="B611" s="5"/>
      <c r="C611" s="5"/>
      <c r="D611" s="5"/>
      <c r="E611" s="5"/>
      <c r="F611" s="5"/>
    </row>
    <row r="612" spans="2:6" ht="15.75" customHeight="1">
      <c r="B612" s="5"/>
      <c r="C612" s="5"/>
      <c r="D612" s="5"/>
      <c r="E612" s="5"/>
      <c r="F612" s="5"/>
    </row>
    <row r="613" spans="2:6" ht="15.75" customHeight="1">
      <c r="B613" s="5"/>
      <c r="C613" s="5"/>
      <c r="D613" s="5"/>
      <c r="E613" s="5"/>
      <c r="F613" s="5"/>
    </row>
    <row r="614" spans="2:6" ht="15.75" customHeight="1">
      <c r="B614" s="5"/>
      <c r="C614" s="5"/>
      <c r="D614" s="5"/>
      <c r="E614" s="5"/>
      <c r="F614" s="5"/>
    </row>
    <row r="615" spans="2:6" ht="15.75" customHeight="1">
      <c r="B615" s="5"/>
      <c r="C615" s="5"/>
      <c r="D615" s="5"/>
      <c r="E615" s="5"/>
      <c r="F615" s="5"/>
    </row>
    <row r="616" spans="2:6" ht="15.75" customHeight="1">
      <c r="B616" s="5"/>
      <c r="C616" s="5"/>
      <c r="D616" s="5"/>
      <c r="E616" s="5"/>
      <c r="F616" s="5"/>
    </row>
    <row r="617" spans="2:6" ht="15.75" customHeight="1">
      <c r="B617" s="5"/>
      <c r="C617" s="5"/>
      <c r="D617" s="5"/>
      <c r="E617" s="5"/>
      <c r="F617" s="5"/>
    </row>
    <row r="618" spans="2:6" ht="15.75" customHeight="1">
      <c r="B618" s="5"/>
      <c r="C618" s="5"/>
      <c r="D618" s="5"/>
      <c r="E618" s="5"/>
      <c r="F618" s="5"/>
    </row>
    <row r="619" spans="2:6" ht="15.75" customHeight="1">
      <c r="B619" s="5"/>
      <c r="C619" s="5"/>
      <c r="D619" s="5"/>
      <c r="E619" s="5"/>
      <c r="F619" s="5"/>
    </row>
    <row r="620" spans="2:6" ht="15.75" customHeight="1">
      <c r="B620" s="5"/>
      <c r="C620" s="5"/>
      <c r="D620" s="5"/>
      <c r="E620" s="5"/>
      <c r="F620" s="5"/>
    </row>
    <row r="621" spans="2:6" ht="15.75" customHeight="1">
      <c r="B621" s="5"/>
      <c r="C621" s="5"/>
      <c r="D621" s="5"/>
      <c r="E621" s="5"/>
      <c r="F621" s="5"/>
    </row>
    <row r="622" spans="2:6" ht="15.75" customHeight="1">
      <c r="B622" s="5"/>
      <c r="C622" s="5"/>
      <c r="D622" s="5"/>
      <c r="E622" s="5"/>
      <c r="F622" s="5"/>
    </row>
    <row r="623" spans="2:6" ht="15.75" customHeight="1">
      <c r="B623" s="5"/>
      <c r="C623" s="5"/>
      <c r="D623" s="5"/>
      <c r="E623" s="5"/>
      <c r="F623" s="5"/>
    </row>
    <row r="624" spans="2:6" ht="15.75" customHeight="1">
      <c r="B624" s="5"/>
      <c r="C624" s="5"/>
      <c r="D624" s="5"/>
      <c r="E624" s="5"/>
      <c r="F624" s="5"/>
    </row>
    <row r="625" spans="2:6" ht="15.75" customHeight="1">
      <c r="B625" s="5"/>
      <c r="C625" s="5"/>
      <c r="D625" s="5"/>
      <c r="E625" s="5"/>
      <c r="F625" s="5"/>
    </row>
    <row r="626" spans="2:6" ht="15.75" customHeight="1">
      <c r="B626" s="5"/>
      <c r="C626" s="5"/>
      <c r="D626" s="5"/>
      <c r="E626" s="5"/>
      <c r="F626" s="5"/>
    </row>
    <row r="627" spans="2:6" ht="15.75" customHeight="1">
      <c r="B627" s="5"/>
      <c r="C627" s="5"/>
      <c r="D627" s="5"/>
      <c r="E627" s="5"/>
      <c r="F627" s="5"/>
    </row>
    <row r="628" spans="2:6" ht="15.75" customHeight="1">
      <c r="B628" s="5"/>
      <c r="C628" s="5"/>
      <c r="D628" s="5"/>
      <c r="E628" s="5"/>
      <c r="F628" s="5"/>
    </row>
    <row r="629" spans="2:6" ht="15.75" customHeight="1">
      <c r="B629" s="5"/>
      <c r="C629" s="5"/>
      <c r="D629" s="5"/>
      <c r="E629" s="5"/>
      <c r="F629" s="5"/>
    </row>
    <row r="630" spans="2:6" ht="15.75" customHeight="1">
      <c r="B630" s="5"/>
      <c r="C630" s="5"/>
      <c r="D630" s="5"/>
      <c r="E630" s="5"/>
      <c r="F630" s="5"/>
    </row>
    <row r="631" spans="2:6" ht="15.75" customHeight="1">
      <c r="B631" s="5"/>
      <c r="C631" s="5"/>
      <c r="D631" s="5"/>
      <c r="E631" s="5"/>
      <c r="F631" s="5"/>
    </row>
    <row r="632" spans="2:6" ht="15.75" customHeight="1">
      <c r="B632" s="5"/>
      <c r="C632" s="5"/>
      <c r="D632" s="5"/>
      <c r="E632" s="5"/>
      <c r="F632" s="5"/>
    </row>
    <row r="633" spans="2:6" ht="15.75" customHeight="1">
      <c r="B633" s="5"/>
      <c r="C633" s="5"/>
      <c r="D633" s="5"/>
      <c r="E633" s="5"/>
      <c r="F633" s="5"/>
    </row>
    <row r="634" spans="2:6" ht="15.75" customHeight="1">
      <c r="B634" s="5"/>
      <c r="C634" s="5"/>
      <c r="D634" s="5"/>
      <c r="E634" s="5"/>
      <c r="F634" s="5"/>
    </row>
    <row r="635" spans="2:6" ht="15.75" customHeight="1">
      <c r="B635" s="5"/>
      <c r="C635" s="5"/>
      <c r="D635" s="5"/>
      <c r="E635" s="5"/>
      <c r="F635" s="5"/>
    </row>
    <row r="636" spans="2:6" ht="15.75" customHeight="1">
      <c r="B636" s="5"/>
      <c r="C636" s="5"/>
      <c r="D636" s="5"/>
      <c r="E636" s="5"/>
      <c r="F636" s="5"/>
    </row>
    <row r="637" spans="2:6" ht="15.75" customHeight="1">
      <c r="B637" s="5"/>
      <c r="C637" s="5"/>
      <c r="D637" s="5"/>
      <c r="E637" s="5"/>
      <c r="F637" s="5"/>
    </row>
    <row r="638" spans="2:6" ht="15.75" customHeight="1">
      <c r="B638" s="5"/>
      <c r="C638" s="5"/>
      <c r="D638" s="5"/>
      <c r="E638" s="5"/>
      <c r="F638" s="5"/>
    </row>
    <row r="639" spans="2:6" ht="15.75" customHeight="1">
      <c r="B639" s="5"/>
      <c r="C639" s="5"/>
      <c r="D639" s="5"/>
      <c r="E639" s="5"/>
      <c r="F639" s="5"/>
    </row>
    <row r="640" spans="2:6" ht="15.75" customHeight="1">
      <c r="B640" s="5"/>
      <c r="C640" s="5"/>
      <c r="D640" s="5"/>
      <c r="E640" s="5"/>
      <c r="F640" s="5"/>
    </row>
    <row r="641" spans="2:6" ht="15.75" customHeight="1">
      <c r="B641" s="5"/>
      <c r="C641" s="5"/>
      <c r="D641" s="5"/>
      <c r="E641" s="5"/>
      <c r="F641" s="5"/>
    </row>
    <row r="642" spans="2:6" ht="15.75" customHeight="1">
      <c r="B642" s="5"/>
      <c r="C642" s="5"/>
      <c r="D642" s="5"/>
      <c r="E642" s="5"/>
      <c r="F642" s="5"/>
    </row>
    <row r="643" spans="2:6" ht="15.75" customHeight="1">
      <c r="B643" s="5"/>
      <c r="C643" s="5"/>
      <c r="D643" s="5"/>
      <c r="E643" s="5"/>
      <c r="F643" s="5"/>
    </row>
    <row r="644" spans="2:6" ht="15.75" customHeight="1">
      <c r="B644" s="5"/>
      <c r="C644" s="5"/>
      <c r="D644" s="5"/>
      <c r="E644" s="5"/>
      <c r="F644" s="5"/>
    </row>
    <row r="645" spans="2:6" ht="15.75" customHeight="1">
      <c r="B645" s="5"/>
      <c r="C645" s="5"/>
      <c r="D645" s="5"/>
      <c r="E645" s="5"/>
      <c r="F645" s="5"/>
    </row>
    <row r="646" spans="2:6" ht="15.75" customHeight="1">
      <c r="B646" s="5"/>
      <c r="C646" s="5"/>
      <c r="D646" s="5"/>
      <c r="E646" s="5"/>
      <c r="F646" s="5"/>
    </row>
    <row r="647" spans="2:6" ht="15.75" customHeight="1">
      <c r="B647" s="5"/>
      <c r="C647" s="5"/>
      <c r="D647" s="5"/>
      <c r="E647" s="5"/>
      <c r="F647" s="5"/>
    </row>
    <row r="648" spans="2:6" ht="15.75" customHeight="1">
      <c r="B648" s="5"/>
      <c r="C648" s="5"/>
      <c r="D648" s="5"/>
      <c r="E648" s="5"/>
      <c r="F648" s="5"/>
    </row>
    <row r="649" spans="2:6" ht="15.75" customHeight="1">
      <c r="B649" s="5"/>
      <c r="C649" s="5"/>
      <c r="D649" s="5"/>
      <c r="E649" s="5"/>
      <c r="F649" s="5"/>
    </row>
    <row r="650" spans="2:6" ht="15.75" customHeight="1">
      <c r="B650" s="5"/>
      <c r="C650" s="5"/>
      <c r="D650" s="5"/>
      <c r="E650" s="5"/>
      <c r="F650" s="5"/>
    </row>
    <row r="651" spans="2:6" ht="15.75" customHeight="1">
      <c r="B651" s="5"/>
      <c r="C651" s="5"/>
      <c r="D651" s="5"/>
      <c r="E651" s="5"/>
      <c r="F651" s="5"/>
    </row>
    <row r="652" spans="2:6" ht="15.75" customHeight="1">
      <c r="B652" s="5"/>
      <c r="C652" s="5"/>
      <c r="D652" s="5"/>
      <c r="E652" s="5"/>
      <c r="F652" s="5"/>
    </row>
    <row r="653" spans="2:6" ht="15.75" customHeight="1">
      <c r="B653" s="5"/>
      <c r="C653" s="5"/>
      <c r="D653" s="5"/>
      <c r="E653" s="5"/>
      <c r="F653" s="5"/>
    </row>
    <row r="654" spans="2:6" ht="15.75" customHeight="1">
      <c r="B654" s="5"/>
      <c r="C654" s="5"/>
      <c r="D654" s="5"/>
      <c r="E654" s="5"/>
      <c r="F654" s="5"/>
    </row>
    <row r="655" spans="2:6" ht="15.75" customHeight="1">
      <c r="B655" s="5"/>
      <c r="C655" s="5"/>
      <c r="D655" s="5"/>
      <c r="E655" s="5"/>
      <c r="F655" s="5"/>
    </row>
    <row r="656" spans="2:6" ht="15.75" customHeight="1">
      <c r="B656" s="5"/>
      <c r="C656" s="5"/>
      <c r="D656" s="5"/>
      <c r="E656" s="5"/>
      <c r="F656" s="5"/>
    </row>
    <row r="657" spans="2:6" ht="15.75" customHeight="1">
      <c r="B657" s="5"/>
      <c r="C657" s="5"/>
      <c r="D657" s="5"/>
      <c r="E657" s="5"/>
      <c r="F657" s="5"/>
    </row>
    <row r="658" spans="2:6" ht="15.75" customHeight="1">
      <c r="B658" s="5"/>
      <c r="C658" s="5"/>
      <c r="D658" s="5"/>
      <c r="E658" s="5"/>
      <c r="F658" s="5"/>
    </row>
    <row r="659" spans="2:6" ht="15.75" customHeight="1">
      <c r="B659" s="5"/>
      <c r="C659" s="5"/>
      <c r="D659" s="5"/>
      <c r="E659" s="5"/>
      <c r="F659" s="5"/>
    </row>
    <row r="660" spans="2:6" ht="15.75" customHeight="1">
      <c r="B660" s="5"/>
      <c r="C660" s="5"/>
      <c r="D660" s="5"/>
      <c r="E660" s="5"/>
      <c r="F660" s="5"/>
    </row>
    <row r="661" spans="2:6" ht="15.75" customHeight="1">
      <c r="B661" s="5"/>
      <c r="C661" s="5"/>
      <c r="D661" s="5"/>
      <c r="E661" s="5"/>
      <c r="F661" s="5"/>
    </row>
    <row r="662" spans="2:6" ht="15.75" customHeight="1">
      <c r="B662" s="5"/>
      <c r="C662" s="5"/>
      <c r="D662" s="5"/>
      <c r="E662" s="5"/>
      <c r="F662" s="5"/>
    </row>
    <row r="663" spans="2:6" ht="15.75" customHeight="1">
      <c r="B663" s="5"/>
      <c r="C663" s="5"/>
      <c r="D663" s="5"/>
      <c r="E663" s="5"/>
      <c r="F663" s="5"/>
    </row>
    <row r="664" spans="2:6" ht="15.75" customHeight="1">
      <c r="B664" s="5"/>
      <c r="C664" s="5"/>
      <c r="D664" s="5"/>
      <c r="E664" s="5"/>
      <c r="F664" s="5"/>
    </row>
    <row r="665" spans="2:6" ht="15.75" customHeight="1">
      <c r="B665" s="5"/>
      <c r="C665" s="5"/>
      <c r="D665" s="5"/>
      <c r="E665" s="5"/>
      <c r="F665" s="5"/>
    </row>
    <row r="666" spans="2:6" ht="15.75" customHeight="1">
      <c r="B666" s="5"/>
      <c r="C666" s="5"/>
      <c r="D666" s="5"/>
      <c r="E666" s="5"/>
      <c r="F666" s="5"/>
    </row>
    <row r="667" spans="2:6" ht="15.75" customHeight="1">
      <c r="B667" s="5"/>
      <c r="C667" s="5"/>
      <c r="D667" s="5"/>
      <c r="E667" s="5"/>
      <c r="F667" s="5"/>
    </row>
    <row r="668" spans="2:6" ht="15.75" customHeight="1">
      <c r="B668" s="5"/>
      <c r="C668" s="5"/>
      <c r="D668" s="5"/>
      <c r="E668" s="5"/>
      <c r="F668" s="5"/>
    </row>
    <row r="669" spans="2:6" ht="15.75" customHeight="1">
      <c r="B669" s="5"/>
      <c r="C669" s="5"/>
      <c r="D669" s="5"/>
      <c r="E669" s="5"/>
      <c r="F669" s="5"/>
    </row>
    <row r="670" spans="2:6" ht="15.75" customHeight="1">
      <c r="B670" s="5"/>
      <c r="C670" s="5"/>
      <c r="D670" s="5"/>
      <c r="E670" s="5"/>
      <c r="F670" s="5"/>
    </row>
    <row r="671" spans="2:6" ht="15.75" customHeight="1">
      <c r="B671" s="5"/>
      <c r="C671" s="5"/>
      <c r="D671" s="5"/>
      <c r="E671" s="5"/>
      <c r="F671" s="5"/>
    </row>
    <row r="672" spans="2:6" ht="15.75" customHeight="1">
      <c r="B672" s="5"/>
      <c r="C672" s="5"/>
      <c r="D672" s="5"/>
      <c r="E672" s="5"/>
      <c r="F672" s="5"/>
    </row>
    <row r="673" spans="2:6" ht="15.75" customHeight="1">
      <c r="B673" s="5"/>
      <c r="C673" s="5"/>
      <c r="D673" s="5"/>
      <c r="E673" s="5"/>
      <c r="F673" s="5"/>
    </row>
    <row r="674" spans="2:6" ht="15.75" customHeight="1">
      <c r="B674" s="5"/>
      <c r="C674" s="5"/>
      <c r="D674" s="5"/>
      <c r="E674" s="5"/>
      <c r="F674" s="5"/>
    </row>
    <row r="675" spans="2:6" ht="15.75" customHeight="1">
      <c r="B675" s="5"/>
      <c r="C675" s="5"/>
      <c r="D675" s="5"/>
      <c r="E675" s="5"/>
      <c r="F675" s="5"/>
    </row>
    <row r="676" spans="2:6" ht="15.75" customHeight="1">
      <c r="B676" s="5"/>
      <c r="C676" s="5"/>
      <c r="D676" s="5"/>
      <c r="E676" s="5"/>
      <c r="F676" s="5"/>
    </row>
    <row r="677" spans="2:6" ht="15.75" customHeight="1">
      <c r="B677" s="5"/>
      <c r="C677" s="5"/>
      <c r="D677" s="5"/>
      <c r="E677" s="5"/>
      <c r="F677" s="5"/>
    </row>
    <row r="678" spans="2:6" ht="15.75" customHeight="1">
      <c r="B678" s="5"/>
      <c r="C678" s="5"/>
      <c r="D678" s="5"/>
      <c r="E678" s="5"/>
      <c r="F678" s="5"/>
    </row>
    <row r="679" spans="2:6" ht="15.75" customHeight="1">
      <c r="B679" s="5"/>
      <c r="C679" s="5"/>
      <c r="D679" s="5"/>
      <c r="E679" s="5"/>
      <c r="F679" s="5"/>
    </row>
    <row r="680" spans="2:6" ht="15.75" customHeight="1">
      <c r="B680" s="5"/>
      <c r="C680" s="5"/>
      <c r="D680" s="5"/>
      <c r="E680" s="5"/>
      <c r="F680" s="5"/>
    </row>
    <row r="681" spans="2:6" ht="15.75" customHeight="1">
      <c r="B681" s="5"/>
      <c r="C681" s="5"/>
      <c r="D681" s="5"/>
      <c r="E681" s="5"/>
      <c r="F681" s="5"/>
    </row>
    <row r="682" spans="2:6" ht="15.75" customHeight="1">
      <c r="B682" s="5"/>
      <c r="C682" s="5"/>
      <c r="D682" s="5"/>
      <c r="E682" s="5"/>
      <c r="F682" s="5"/>
    </row>
    <row r="683" spans="2:6" ht="15.75" customHeight="1">
      <c r="B683" s="5"/>
      <c r="C683" s="5"/>
      <c r="D683" s="5"/>
      <c r="E683" s="5"/>
      <c r="F683" s="5"/>
    </row>
    <row r="684" spans="2:6" ht="15.75" customHeight="1">
      <c r="B684" s="5"/>
      <c r="C684" s="5"/>
      <c r="D684" s="5"/>
      <c r="E684" s="5"/>
      <c r="F684" s="5"/>
    </row>
    <row r="685" spans="2:6" ht="15.75" customHeight="1">
      <c r="B685" s="5"/>
      <c r="C685" s="5"/>
      <c r="D685" s="5"/>
      <c r="E685" s="5"/>
      <c r="F685" s="5"/>
    </row>
    <row r="686" spans="2:6" ht="15.75" customHeight="1">
      <c r="B686" s="5"/>
      <c r="C686" s="5"/>
      <c r="D686" s="5"/>
      <c r="E686" s="5"/>
      <c r="F686" s="5"/>
    </row>
    <row r="687" spans="2:6" ht="15.75" customHeight="1">
      <c r="B687" s="5"/>
      <c r="C687" s="5"/>
      <c r="D687" s="5"/>
      <c r="E687" s="5"/>
      <c r="F687" s="5"/>
    </row>
    <row r="688" spans="2:6" ht="15.75" customHeight="1">
      <c r="B688" s="5"/>
      <c r="C688" s="5"/>
      <c r="D688" s="5"/>
      <c r="E688" s="5"/>
      <c r="F688" s="5"/>
    </row>
    <row r="689" spans="2:6" ht="15.75" customHeight="1">
      <c r="B689" s="5"/>
      <c r="C689" s="5"/>
      <c r="D689" s="5"/>
      <c r="E689" s="5"/>
      <c r="F689" s="5"/>
    </row>
    <row r="690" spans="2:6" ht="15.75" customHeight="1">
      <c r="B690" s="5"/>
      <c r="C690" s="5"/>
      <c r="D690" s="5"/>
      <c r="E690" s="5"/>
      <c r="F690" s="5"/>
    </row>
    <row r="691" spans="2:6" ht="15.75" customHeight="1">
      <c r="B691" s="5"/>
      <c r="C691" s="5"/>
      <c r="D691" s="5"/>
      <c r="E691" s="5"/>
      <c r="F691" s="5"/>
    </row>
    <row r="692" spans="2:6" ht="15.75" customHeight="1">
      <c r="B692" s="5"/>
      <c r="C692" s="5"/>
      <c r="D692" s="5"/>
      <c r="E692" s="5"/>
      <c r="F692" s="5"/>
    </row>
    <row r="693" spans="2:6" ht="15.75" customHeight="1">
      <c r="B693" s="5"/>
      <c r="C693" s="5"/>
      <c r="D693" s="5"/>
      <c r="E693" s="5"/>
      <c r="F693" s="5"/>
    </row>
    <row r="694" spans="2:6" ht="15.75" customHeight="1">
      <c r="B694" s="5"/>
      <c r="C694" s="5"/>
      <c r="D694" s="5"/>
      <c r="E694" s="5"/>
      <c r="F694" s="5"/>
    </row>
    <row r="695" spans="2:6" ht="15.75" customHeight="1">
      <c r="B695" s="5"/>
      <c r="C695" s="5"/>
      <c r="D695" s="5"/>
      <c r="E695" s="5"/>
      <c r="F695" s="5"/>
    </row>
    <row r="696" spans="2:6" ht="15.75" customHeight="1">
      <c r="B696" s="5"/>
      <c r="C696" s="5"/>
      <c r="D696" s="5"/>
      <c r="E696" s="5"/>
      <c r="F696" s="5"/>
    </row>
    <row r="697" spans="2:6" ht="15.75" customHeight="1">
      <c r="B697" s="5"/>
      <c r="C697" s="5"/>
      <c r="D697" s="5"/>
      <c r="E697" s="5"/>
      <c r="F697" s="5"/>
    </row>
    <row r="698" spans="2:6" ht="15.75" customHeight="1">
      <c r="B698" s="5"/>
      <c r="C698" s="5"/>
      <c r="D698" s="5"/>
      <c r="E698" s="5"/>
      <c r="F698" s="5"/>
    </row>
    <row r="699" spans="2:6" ht="15.75" customHeight="1">
      <c r="B699" s="5"/>
      <c r="C699" s="5"/>
      <c r="D699" s="5"/>
      <c r="E699" s="5"/>
      <c r="F699" s="5"/>
    </row>
    <row r="700" spans="2:6" ht="15.75" customHeight="1">
      <c r="B700" s="5"/>
      <c r="C700" s="5"/>
      <c r="D700" s="5"/>
      <c r="E700" s="5"/>
      <c r="F700" s="5"/>
    </row>
    <row r="701" spans="2:6" ht="15.75" customHeight="1">
      <c r="B701" s="5"/>
      <c r="C701" s="5"/>
      <c r="D701" s="5"/>
      <c r="E701" s="5"/>
      <c r="F701" s="5"/>
    </row>
    <row r="702" spans="2:6" ht="15.75" customHeight="1">
      <c r="B702" s="5"/>
      <c r="C702" s="5"/>
      <c r="D702" s="5"/>
      <c r="E702" s="5"/>
      <c r="F702" s="5"/>
    </row>
    <row r="703" spans="2:6" ht="15.75" customHeight="1">
      <c r="B703" s="5"/>
      <c r="C703" s="5"/>
      <c r="D703" s="5"/>
      <c r="E703" s="5"/>
      <c r="F703" s="5"/>
    </row>
    <row r="704" spans="2:6" ht="15.75" customHeight="1">
      <c r="B704" s="5"/>
      <c r="C704" s="5"/>
      <c r="D704" s="5"/>
      <c r="E704" s="5"/>
      <c r="F704" s="5"/>
    </row>
    <row r="705" spans="2:6" ht="15.75" customHeight="1">
      <c r="B705" s="5"/>
      <c r="C705" s="5"/>
      <c r="D705" s="5"/>
      <c r="E705" s="5"/>
      <c r="F705" s="5"/>
    </row>
    <row r="706" spans="2:6" ht="15.75" customHeight="1">
      <c r="B706" s="5"/>
      <c r="C706" s="5"/>
      <c r="D706" s="5"/>
      <c r="E706" s="5"/>
      <c r="F706" s="5"/>
    </row>
    <row r="707" spans="2:6" ht="15.75" customHeight="1">
      <c r="B707" s="5"/>
      <c r="C707" s="5"/>
      <c r="D707" s="5"/>
      <c r="E707" s="5"/>
      <c r="F707" s="5"/>
    </row>
    <row r="708" spans="2:6" ht="15.75" customHeight="1">
      <c r="B708" s="5"/>
      <c r="C708" s="5"/>
      <c r="D708" s="5"/>
      <c r="E708" s="5"/>
      <c r="F708" s="5"/>
    </row>
    <row r="709" spans="2:6" ht="15.75" customHeight="1">
      <c r="B709" s="5"/>
      <c r="C709" s="5"/>
      <c r="D709" s="5"/>
      <c r="E709" s="5"/>
      <c r="F709" s="5"/>
    </row>
    <row r="710" spans="2:6" ht="15.75" customHeight="1">
      <c r="B710" s="5"/>
      <c r="C710" s="5"/>
      <c r="D710" s="5"/>
      <c r="E710" s="5"/>
      <c r="F710" s="5"/>
    </row>
    <row r="711" spans="2:6" ht="15.75" customHeight="1">
      <c r="B711" s="5"/>
      <c r="C711" s="5"/>
      <c r="D711" s="5"/>
      <c r="E711" s="5"/>
      <c r="F711" s="5"/>
    </row>
    <row r="712" spans="2:6" ht="15.75" customHeight="1">
      <c r="B712" s="5"/>
      <c r="C712" s="5"/>
      <c r="D712" s="5"/>
      <c r="E712" s="5"/>
      <c r="F712" s="5"/>
    </row>
    <row r="713" spans="2:6" ht="15.75" customHeight="1">
      <c r="B713" s="5"/>
      <c r="C713" s="5"/>
      <c r="D713" s="5"/>
      <c r="E713" s="5"/>
      <c r="F713" s="5"/>
    </row>
    <row r="714" spans="2:6" ht="15.75" customHeight="1">
      <c r="B714" s="5"/>
      <c r="C714" s="5"/>
      <c r="D714" s="5"/>
      <c r="E714" s="5"/>
      <c r="F714" s="5"/>
    </row>
    <row r="715" spans="2:6" ht="15.75" customHeight="1">
      <c r="B715" s="5"/>
      <c r="C715" s="5"/>
      <c r="D715" s="5"/>
      <c r="E715" s="5"/>
      <c r="F715" s="5"/>
    </row>
    <row r="716" spans="2:6" ht="15.75" customHeight="1">
      <c r="B716" s="5"/>
      <c r="C716" s="5"/>
      <c r="D716" s="5"/>
      <c r="E716" s="5"/>
      <c r="F716" s="5"/>
    </row>
    <row r="717" spans="2:6" ht="15.75" customHeight="1">
      <c r="B717" s="5"/>
      <c r="C717" s="5"/>
      <c r="D717" s="5"/>
      <c r="E717" s="5"/>
      <c r="F717" s="5"/>
    </row>
    <row r="718" spans="2:6" ht="15.75" customHeight="1">
      <c r="B718" s="5"/>
      <c r="C718" s="5"/>
      <c r="D718" s="5"/>
      <c r="E718" s="5"/>
      <c r="F718" s="5"/>
    </row>
    <row r="719" spans="2:6" ht="15.75" customHeight="1">
      <c r="B719" s="5"/>
      <c r="C719" s="5"/>
      <c r="D719" s="5"/>
      <c r="E719" s="5"/>
      <c r="F719" s="5"/>
    </row>
    <row r="720" spans="2:6" ht="15.75" customHeight="1">
      <c r="B720" s="5"/>
      <c r="C720" s="5"/>
      <c r="D720" s="5"/>
      <c r="E720" s="5"/>
      <c r="F720" s="5"/>
    </row>
    <row r="721" spans="2:6" ht="15.75" customHeight="1">
      <c r="B721" s="5"/>
      <c r="C721" s="5"/>
      <c r="D721" s="5"/>
      <c r="E721" s="5"/>
      <c r="F721" s="5"/>
    </row>
    <row r="722" spans="2:6" ht="15.75" customHeight="1">
      <c r="B722" s="5"/>
      <c r="C722" s="5"/>
      <c r="D722" s="5"/>
      <c r="E722" s="5"/>
      <c r="F722" s="5"/>
    </row>
    <row r="723" spans="2:6" ht="15.75" customHeight="1">
      <c r="B723" s="5"/>
      <c r="C723" s="5"/>
      <c r="D723" s="5"/>
      <c r="E723" s="5"/>
      <c r="F723" s="5"/>
    </row>
    <row r="724" spans="2:6" ht="15.75" customHeight="1">
      <c r="B724" s="5"/>
      <c r="C724" s="5"/>
      <c r="D724" s="5"/>
      <c r="E724" s="5"/>
      <c r="F724" s="5"/>
    </row>
    <row r="725" spans="2:6" ht="15.75" customHeight="1">
      <c r="B725" s="5"/>
      <c r="C725" s="5"/>
      <c r="D725" s="5"/>
      <c r="E725" s="5"/>
      <c r="F725" s="5"/>
    </row>
    <row r="726" spans="2:6" ht="15.75" customHeight="1">
      <c r="B726" s="5"/>
      <c r="C726" s="5"/>
      <c r="D726" s="5"/>
      <c r="E726" s="5"/>
      <c r="F726" s="5"/>
    </row>
    <row r="727" spans="2:6" ht="15.75" customHeight="1">
      <c r="B727" s="5"/>
      <c r="C727" s="5"/>
      <c r="D727" s="5"/>
      <c r="E727" s="5"/>
      <c r="F727" s="5"/>
    </row>
    <row r="728" spans="2:6" ht="15.75" customHeight="1">
      <c r="B728" s="5"/>
      <c r="C728" s="5"/>
      <c r="D728" s="5"/>
      <c r="E728" s="5"/>
      <c r="F728" s="5"/>
    </row>
    <row r="729" spans="2:6" ht="15.75" customHeight="1">
      <c r="B729" s="5"/>
      <c r="C729" s="5"/>
      <c r="D729" s="5"/>
      <c r="E729" s="5"/>
      <c r="F729" s="5"/>
    </row>
    <row r="730" spans="2:6" ht="15.75" customHeight="1">
      <c r="B730" s="5"/>
      <c r="C730" s="5"/>
      <c r="D730" s="5"/>
      <c r="E730" s="5"/>
      <c r="F730" s="5"/>
    </row>
    <row r="731" spans="2:6" ht="15.75" customHeight="1">
      <c r="B731" s="5"/>
      <c r="C731" s="5"/>
      <c r="D731" s="5"/>
      <c r="E731" s="5"/>
      <c r="F731" s="5"/>
    </row>
    <row r="732" spans="2:6" ht="15.75" customHeight="1">
      <c r="B732" s="5"/>
      <c r="C732" s="5"/>
      <c r="D732" s="5"/>
      <c r="E732" s="5"/>
      <c r="F732" s="5"/>
    </row>
    <row r="733" spans="2:6" ht="15.75" customHeight="1">
      <c r="B733" s="5"/>
      <c r="C733" s="5"/>
      <c r="D733" s="5"/>
      <c r="E733" s="5"/>
      <c r="F733" s="5"/>
    </row>
    <row r="734" spans="2:6" ht="15.75" customHeight="1">
      <c r="B734" s="5"/>
      <c r="C734" s="5"/>
      <c r="D734" s="5"/>
      <c r="E734" s="5"/>
      <c r="F734" s="5"/>
    </row>
    <row r="735" spans="2:6" ht="15.75" customHeight="1">
      <c r="B735" s="5"/>
      <c r="C735" s="5"/>
      <c r="D735" s="5"/>
      <c r="E735" s="5"/>
      <c r="F735" s="5"/>
    </row>
    <row r="736" spans="2:6" ht="15.75" customHeight="1">
      <c r="B736" s="5"/>
      <c r="C736" s="5"/>
      <c r="D736" s="5"/>
      <c r="E736" s="5"/>
      <c r="F736" s="5"/>
    </row>
    <row r="737" spans="2:6" ht="15.75" customHeight="1">
      <c r="B737" s="5"/>
      <c r="C737" s="5"/>
      <c r="D737" s="5"/>
      <c r="E737" s="5"/>
      <c r="F737" s="5"/>
    </row>
    <row r="738" spans="2:6" ht="15.75" customHeight="1">
      <c r="B738" s="5"/>
      <c r="C738" s="5"/>
      <c r="D738" s="5"/>
      <c r="E738" s="5"/>
      <c r="F738" s="5"/>
    </row>
    <row r="739" spans="2:6" ht="15.75" customHeight="1">
      <c r="B739" s="5"/>
      <c r="C739" s="5"/>
      <c r="D739" s="5"/>
      <c r="E739" s="5"/>
      <c r="F739" s="5"/>
    </row>
    <row r="740" spans="2:6" ht="15.75" customHeight="1">
      <c r="B740" s="5"/>
      <c r="C740" s="5"/>
      <c r="D740" s="5"/>
      <c r="E740" s="5"/>
      <c r="F740" s="5"/>
    </row>
    <row r="741" spans="2:6" ht="15.75" customHeight="1">
      <c r="B741" s="5"/>
      <c r="C741" s="5"/>
      <c r="D741" s="5"/>
      <c r="E741" s="5"/>
      <c r="F741" s="5"/>
    </row>
    <row r="742" spans="2:6" ht="15.75" customHeight="1">
      <c r="B742" s="5"/>
      <c r="C742" s="5"/>
      <c r="D742" s="5"/>
      <c r="E742" s="5"/>
      <c r="F742" s="5"/>
    </row>
    <row r="743" spans="2:6" ht="15.75" customHeight="1">
      <c r="B743" s="5"/>
      <c r="C743" s="5"/>
      <c r="D743" s="5"/>
      <c r="E743" s="5"/>
      <c r="F743" s="5"/>
    </row>
    <row r="744" spans="2:6" ht="15.75" customHeight="1">
      <c r="B744" s="5"/>
      <c r="C744" s="5"/>
      <c r="D744" s="5"/>
      <c r="E744" s="5"/>
      <c r="F744" s="5"/>
    </row>
    <row r="745" spans="2:6" ht="15.75" customHeight="1">
      <c r="B745" s="5"/>
      <c r="C745" s="5"/>
      <c r="D745" s="5"/>
      <c r="E745" s="5"/>
      <c r="F745" s="5"/>
    </row>
    <row r="746" spans="2:6" ht="15.75" customHeight="1">
      <c r="B746" s="5"/>
      <c r="C746" s="5"/>
      <c r="D746" s="5"/>
      <c r="E746" s="5"/>
      <c r="F746" s="5"/>
    </row>
    <row r="747" spans="2:6" ht="15.75" customHeight="1">
      <c r="B747" s="5"/>
      <c r="C747" s="5"/>
      <c r="D747" s="5"/>
      <c r="E747" s="5"/>
      <c r="F747" s="5"/>
    </row>
    <row r="748" spans="2:6" ht="15.75" customHeight="1">
      <c r="B748" s="5"/>
      <c r="C748" s="5"/>
      <c r="D748" s="5"/>
      <c r="E748" s="5"/>
      <c r="F748" s="5"/>
    </row>
    <row r="749" spans="2:6" ht="15.75" customHeight="1">
      <c r="B749" s="5"/>
      <c r="C749" s="5"/>
      <c r="D749" s="5"/>
      <c r="E749" s="5"/>
      <c r="F749" s="5"/>
    </row>
    <row r="750" spans="2:6" ht="15.75" customHeight="1">
      <c r="B750" s="5"/>
      <c r="C750" s="5"/>
      <c r="D750" s="5"/>
      <c r="E750" s="5"/>
      <c r="F750" s="5"/>
    </row>
    <row r="751" spans="2:6" ht="15.75" customHeight="1">
      <c r="B751" s="5"/>
      <c r="C751" s="5"/>
      <c r="D751" s="5"/>
      <c r="E751" s="5"/>
      <c r="F751" s="5"/>
    </row>
    <row r="752" spans="2:6" ht="15.75" customHeight="1">
      <c r="B752" s="5"/>
      <c r="C752" s="5"/>
      <c r="D752" s="5"/>
      <c r="E752" s="5"/>
      <c r="F752" s="5"/>
    </row>
    <row r="753" spans="2:6" ht="15.75" customHeight="1">
      <c r="B753" s="5"/>
      <c r="C753" s="5"/>
      <c r="D753" s="5"/>
      <c r="E753" s="5"/>
      <c r="F753" s="5"/>
    </row>
    <row r="754" spans="2:6" ht="15.75" customHeight="1">
      <c r="B754" s="5"/>
      <c r="C754" s="5"/>
      <c r="D754" s="5"/>
      <c r="E754" s="5"/>
      <c r="F754" s="5"/>
    </row>
    <row r="755" spans="2:6" ht="15.75" customHeight="1">
      <c r="B755" s="5"/>
      <c r="C755" s="5"/>
      <c r="D755" s="5"/>
      <c r="E755" s="5"/>
      <c r="F755" s="5"/>
    </row>
    <row r="756" spans="2:6" ht="15.75" customHeight="1">
      <c r="B756" s="5"/>
      <c r="C756" s="5"/>
      <c r="D756" s="5"/>
      <c r="E756" s="5"/>
      <c r="F756" s="5"/>
    </row>
    <row r="757" spans="2:6" ht="15.75" customHeight="1">
      <c r="B757" s="5"/>
      <c r="C757" s="5"/>
      <c r="D757" s="5"/>
      <c r="E757" s="5"/>
      <c r="F757" s="5"/>
    </row>
    <row r="758" spans="2:6" ht="15.75" customHeight="1">
      <c r="B758" s="5"/>
      <c r="C758" s="5"/>
      <c r="D758" s="5"/>
      <c r="E758" s="5"/>
      <c r="F758" s="5"/>
    </row>
    <row r="759" spans="2:6" ht="15.75" customHeight="1">
      <c r="B759" s="5"/>
      <c r="C759" s="5"/>
      <c r="D759" s="5"/>
      <c r="E759" s="5"/>
      <c r="F759" s="5"/>
    </row>
    <row r="760" spans="2:6" ht="15.75" customHeight="1">
      <c r="B760" s="5"/>
      <c r="C760" s="5"/>
      <c r="D760" s="5"/>
      <c r="E760" s="5"/>
      <c r="F760" s="5"/>
    </row>
    <row r="761" spans="2:6" ht="15.75" customHeight="1">
      <c r="B761" s="5"/>
      <c r="C761" s="5"/>
      <c r="D761" s="5"/>
      <c r="E761" s="5"/>
      <c r="F761" s="5"/>
    </row>
    <row r="762" spans="2:6" ht="15.75" customHeight="1">
      <c r="B762" s="5"/>
      <c r="C762" s="5"/>
      <c r="D762" s="5"/>
      <c r="E762" s="5"/>
      <c r="F762" s="5"/>
    </row>
    <row r="763" spans="2:6" ht="15.75" customHeight="1">
      <c r="B763" s="5"/>
      <c r="C763" s="5"/>
      <c r="D763" s="5"/>
      <c r="E763" s="5"/>
      <c r="F763" s="5"/>
    </row>
    <row r="764" spans="2:6" ht="15.75" customHeight="1">
      <c r="B764" s="5"/>
      <c r="C764" s="5"/>
      <c r="D764" s="5"/>
      <c r="E764" s="5"/>
      <c r="F764" s="5"/>
    </row>
    <row r="765" spans="2:6" ht="15.75" customHeight="1">
      <c r="B765" s="5"/>
      <c r="C765" s="5"/>
      <c r="D765" s="5"/>
      <c r="E765" s="5"/>
      <c r="F765" s="5"/>
    </row>
    <row r="766" spans="2:6" ht="15.75" customHeight="1">
      <c r="B766" s="5"/>
      <c r="C766" s="5"/>
      <c r="D766" s="5"/>
      <c r="E766" s="5"/>
      <c r="F766" s="5"/>
    </row>
    <row r="767" spans="2:6" ht="15.75" customHeight="1">
      <c r="B767" s="5"/>
      <c r="C767" s="5"/>
      <c r="D767" s="5"/>
      <c r="E767" s="5"/>
      <c r="F767" s="5"/>
    </row>
    <row r="768" spans="2:6" ht="15.75" customHeight="1">
      <c r="B768" s="5"/>
      <c r="C768" s="5"/>
      <c r="D768" s="5"/>
      <c r="E768" s="5"/>
      <c r="F768" s="5"/>
    </row>
    <row r="769" spans="2:6" ht="15.75" customHeight="1">
      <c r="B769" s="5"/>
      <c r="C769" s="5"/>
      <c r="D769" s="5"/>
      <c r="E769" s="5"/>
      <c r="F769" s="5"/>
    </row>
    <row r="770" spans="2:6" ht="15.75" customHeight="1">
      <c r="B770" s="5"/>
      <c r="C770" s="5"/>
      <c r="D770" s="5"/>
      <c r="E770" s="5"/>
      <c r="F770" s="5"/>
    </row>
    <row r="771" spans="2:6" ht="15.75" customHeight="1">
      <c r="B771" s="5"/>
      <c r="C771" s="5"/>
      <c r="D771" s="5"/>
      <c r="E771" s="5"/>
      <c r="F771" s="5"/>
    </row>
    <row r="772" spans="2:6" ht="15.75" customHeight="1">
      <c r="B772" s="5"/>
      <c r="C772" s="5"/>
      <c r="D772" s="5"/>
      <c r="E772" s="5"/>
      <c r="F772" s="5"/>
    </row>
    <row r="773" spans="2:6" ht="15.75" customHeight="1">
      <c r="B773" s="5"/>
      <c r="C773" s="5"/>
      <c r="D773" s="5"/>
      <c r="E773" s="5"/>
      <c r="F773" s="5"/>
    </row>
    <row r="774" spans="2:6" ht="15.75" customHeight="1">
      <c r="B774" s="5"/>
      <c r="C774" s="5"/>
      <c r="D774" s="5"/>
      <c r="E774" s="5"/>
      <c r="F774" s="5"/>
    </row>
    <row r="775" spans="2:6" ht="15.75" customHeight="1">
      <c r="B775" s="5"/>
      <c r="C775" s="5"/>
      <c r="D775" s="5"/>
      <c r="E775" s="5"/>
      <c r="F775" s="5"/>
    </row>
    <row r="776" spans="2:6" ht="15.75" customHeight="1">
      <c r="B776" s="5"/>
      <c r="C776" s="5"/>
      <c r="D776" s="5"/>
      <c r="E776" s="5"/>
      <c r="F776" s="5"/>
    </row>
    <row r="777" spans="2:6" ht="15.75" customHeight="1">
      <c r="B777" s="5"/>
      <c r="C777" s="5"/>
      <c r="D777" s="5"/>
      <c r="E777" s="5"/>
      <c r="F777" s="5"/>
    </row>
    <row r="778" spans="2:6" ht="15.75" customHeight="1">
      <c r="B778" s="5"/>
      <c r="C778" s="5"/>
      <c r="D778" s="5"/>
      <c r="E778" s="5"/>
      <c r="F778" s="5"/>
    </row>
    <row r="779" spans="2:6" ht="15.75" customHeight="1">
      <c r="B779" s="5"/>
      <c r="C779" s="5"/>
      <c r="D779" s="5"/>
      <c r="E779" s="5"/>
      <c r="F779" s="5"/>
    </row>
    <row r="780" spans="2:6" ht="15.75" customHeight="1">
      <c r="B780" s="5"/>
      <c r="C780" s="5"/>
      <c r="D780" s="5"/>
      <c r="E780" s="5"/>
      <c r="F780" s="5"/>
    </row>
    <row r="781" spans="2:6" ht="15.75" customHeight="1">
      <c r="B781" s="5"/>
      <c r="C781" s="5"/>
      <c r="D781" s="5"/>
      <c r="E781" s="5"/>
      <c r="F781" s="5"/>
    </row>
    <row r="782" spans="2:6" ht="15.75" customHeight="1">
      <c r="B782" s="5"/>
      <c r="C782" s="5"/>
      <c r="D782" s="5"/>
      <c r="E782" s="5"/>
      <c r="F782" s="5"/>
    </row>
    <row r="783" spans="2:6" ht="15.75" customHeight="1">
      <c r="B783" s="5"/>
      <c r="C783" s="5"/>
      <c r="D783" s="5"/>
      <c r="E783" s="5"/>
      <c r="F783" s="5"/>
    </row>
    <row r="784" spans="2:6" ht="15.75" customHeight="1">
      <c r="B784" s="5"/>
      <c r="C784" s="5"/>
      <c r="D784" s="5"/>
      <c r="E784" s="5"/>
      <c r="F784" s="5"/>
    </row>
    <row r="785" spans="2:6" ht="15.75" customHeight="1">
      <c r="B785" s="5"/>
      <c r="C785" s="5"/>
      <c r="D785" s="5"/>
      <c r="E785" s="5"/>
      <c r="F785" s="5"/>
    </row>
    <row r="786" spans="2:6" ht="15.75" customHeight="1">
      <c r="B786" s="5"/>
      <c r="C786" s="5"/>
      <c r="D786" s="5"/>
      <c r="E786" s="5"/>
      <c r="F786" s="5"/>
    </row>
    <row r="787" spans="2:6" ht="15.75" customHeight="1">
      <c r="B787" s="5"/>
      <c r="C787" s="5"/>
      <c r="D787" s="5"/>
      <c r="E787" s="5"/>
      <c r="F787" s="5"/>
    </row>
    <row r="788" spans="2:6" ht="15.75" customHeight="1">
      <c r="B788" s="5"/>
      <c r="C788" s="5"/>
      <c r="D788" s="5"/>
      <c r="E788" s="5"/>
      <c r="F788" s="5"/>
    </row>
    <row r="789" spans="2:6" ht="15.75" customHeight="1">
      <c r="B789" s="5"/>
      <c r="C789" s="5"/>
      <c r="D789" s="5"/>
      <c r="E789" s="5"/>
      <c r="F789" s="5"/>
    </row>
    <row r="790" spans="2:6" ht="15.75" customHeight="1">
      <c r="B790" s="5"/>
      <c r="C790" s="5"/>
      <c r="D790" s="5"/>
      <c r="E790" s="5"/>
      <c r="F790" s="5"/>
    </row>
    <row r="791" spans="2:6" ht="15.75" customHeight="1">
      <c r="B791" s="5"/>
      <c r="C791" s="5"/>
      <c r="D791" s="5"/>
      <c r="E791" s="5"/>
      <c r="F791" s="5"/>
    </row>
    <row r="792" spans="2:6" ht="15.75" customHeight="1">
      <c r="B792" s="5"/>
      <c r="C792" s="5"/>
      <c r="D792" s="5"/>
      <c r="E792" s="5"/>
      <c r="F792" s="5"/>
    </row>
    <row r="793" spans="2:6" ht="15.75" customHeight="1">
      <c r="B793" s="5"/>
      <c r="C793" s="5"/>
      <c r="D793" s="5"/>
      <c r="E793" s="5"/>
      <c r="F793" s="5"/>
    </row>
    <row r="794" spans="2:6" ht="15.75" customHeight="1">
      <c r="B794" s="5"/>
      <c r="C794" s="5"/>
      <c r="D794" s="5"/>
      <c r="E794" s="5"/>
      <c r="F794" s="5"/>
    </row>
    <row r="795" spans="2:6" ht="15.75" customHeight="1">
      <c r="B795" s="5"/>
      <c r="C795" s="5"/>
      <c r="D795" s="5"/>
      <c r="E795" s="5"/>
      <c r="F795" s="5"/>
    </row>
    <row r="796" spans="2:6" ht="15.75" customHeight="1">
      <c r="B796" s="5"/>
      <c r="C796" s="5"/>
      <c r="D796" s="5"/>
      <c r="E796" s="5"/>
      <c r="F796" s="5"/>
    </row>
    <row r="797" spans="2:6" ht="15.75" customHeight="1">
      <c r="B797" s="5"/>
      <c r="C797" s="5"/>
      <c r="D797" s="5"/>
      <c r="E797" s="5"/>
      <c r="F797" s="5"/>
    </row>
    <row r="798" spans="2:6" ht="15.75" customHeight="1">
      <c r="B798" s="5"/>
      <c r="C798" s="5"/>
      <c r="D798" s="5"/>
      <c r="E798" s="5"/>
      <c r="F798" s="5"/>
    </row>
    <row r="799" spans="2:6" ht="15.75" customHeight="1">
      <c r="B799" s="5"/>
      <c r="C799" s="5"/>
      <c r="D799" s="5"/>
      <c r="E799" s="5"/>
      <c r="F799" s="5"/>
    </row>
    <row r="800" spans="2:6" ht="15.75" customHeight="1">
      <c r="B800" s="5"/>
      <c r="C800" s="5"/>
      <c r="D800" s="5"/>
      <c r="E800" s="5"/>
      <c r="F800" s="5"/>
    </row>
    <row r="801" spans="2:6" ht="15.75" customHeight="1">
      <c r="B801" s="5"/>
      <c r="C801" s="5"/>
      <c r="D801" s="5"/>
      <c r="E801" s="5"/>
      <c r="F801" s="5"/>
    </row>
    <row r="802" spans="2:6" ht="15.75" customHeight="1">
      <c r="B802" s="5"/>
      <c r="C802" s="5"/>
      <c r="D802" s="5"/>
      <c r="E802" s="5"/>
      <c r="F802" s="5"/>
    </row>
    <row r="803" spans="2:6" ht="15.75" customHeight="1">
      <c r="B803" s="5"/>
      <c r="C803" s="5"/>
      <c r="D803" s="5"/>
      <c r="E803" s="5"/>
      <c r="F803" s="5"/>
    </row>
    <row r="804" spans="2:6" ht="15.75" customHeight="1">
      <c r="B804" s="5"/>
      <c r="C804" s="5"/>
      <c r="D804" s="5"/>
      <c r="E804" s="5"/>
      <c r="F804" s="5"/>
    </row>
    <row r="805" spans="2:6" ht="15.75" customHeight="1">
      <c r="B805" s="5"/>
      <c r="C805" s="5"/>
      <c r="D805" s="5"/>
      <c r="E805" s="5"/>
      <c r="F805" s="5"/>
    </row>
    <row r="806" spans="2:6" ht="15.75" customHeight="1">
      <c r="B806" s="5"/>
      <c r="C806" s="5"/>
      <c r="D806" s="5"/>
      <c r="E806" s="5"/>
      <c r="F806" s="5"/>
    </row>
    <row r="807" spans="2:6" ht="15.75" customHeight="1">
      <c r="B807" s="5"/>
      <c r="C807" s="5"/>
      <c r="D807" s="5"/>
      <c r="E807" s="5"/>
      <c r="F807" s="5"/>
    </row>
    <row r="808" spans="2:6" ht="15.75" customHeight="1">
      <c r="B808" s="5"/>
      <c r="C808" s="5"/>
      <c r="D808" s="5"/>
      <c r="E808" s="5"/>
      <c r="F808" s="5"/>
    </row>
    <row r="809" spans="2:6" ht="15.75" customHeight="1">
      <c r="B809" s="5"/>
      <c r="C809" s="5"/>
      <c r="D809" s="5"/>
      <c r="E809" s="5"/>
      <c r="F809" s="5"/>
    </row>
    <row r="810" spans="2:6" ht="15.75" customHeight="1">
      <c r="B810" s="5"/>
      <c r="C810" s="5"/>
      <c r="D810" s="5"/>
      <c r="E810" s="5"/>
      <c r="F810" s="5"/>
    </row>
    <row r="811" spans="2:6" ht="15.75" customHeight="1">
      <c r="B811" s="5"/>
      <c r="C811" s="5"/>
      <c r="D811" s="5"/>
      <c r="E811" s="5"/>
      <c r="F811" s="5"/>
    </row>
    <row r="812" spans="2:6" ht="15.75" customHeight="1">
      <c r="B812" s="5"/>
      <c r="C812" s="5"/>
      <c r="D812" s="5"/>
      <c r="E812" s="5"/>
      <c r="F812" s="5"/>
    </row>
    <row r="813" spans="2:6" ht="15.75" customHeight="1">
      <c r="B813" s="5"/>
      <c r="C813" s="5"/>
      <c r="D813" s="5"/>
      <c r="E813" s="5"/>
      <c r="F813" s="5"/>
    </row>
    <row r="814" spans="2:6" ht="15.75" customHeight="1">
      <c r="B814" s="5"/>
      <c r="C814" s="5"/>
      <c r="D814" s="5"/>
      <c r="E814" s="5"/>
      <c r="F814" s="5"/>
    </row>
    <row r="815" spans="2:6" ht="15.75" customHeight="1">
      <c r="B815" s="5"/>
      <c r="C815" s="5"/>
      <c r="D815" s="5"/>
      <c r="E815" s="5"/>
      <c r="F815" s="5"/>
    </row>
    <row r="816" spans="2:6" ht="15.75" customHeight="1">
      <c r="B816" s="5"/>
      <c r="C816" s="5"/>
      <c r="D816" s="5"/>
      <c r="E816" s="5"/>
      <c r="F816" s="5"/>
    </row>
    <row r="817" spans="2:6" ht="15.75" customHeight="1">
      <c r="B817" s="5"/>
      <c r="C817" s="5"/>
      <c r="D817" s="5"/>
      <c r="E817" s="5"/>
      <c r="F817" s="5"/>
    </row>
    <row r="818" spans="2:6" ht="15.75" customHeight="1">
      <c r="B818" s="5"/>
      <c r="C818" s="5"/>
      <c r="D818" s="5"/>
      <c r="E818" s="5"/>
      <c r="F818" s="5"/>
    </row>
    <row r="819" spans="2:6" ht="15.75" customHeight="1">
      <c r="B819" s="5"/>
      <c r="C819" s="5"/>
      <c r="D819" s="5"/>
      <c r="E819" s="5"/>
      <c r="F819" s="5"/>
    </row>
    <row r="820" spans="2:6" ht="15.75" customHeight="1">
      <c r="B820" s="5"/>
      <c r="C820" s="5"/>
      <c r="D820" s="5"/>
      <c r="E820" s="5"/>
      <c r="F820" s="5"/>
    </row>
    <row r="821" spans="2:6" ht="15.75" customHeight="1">
      <c r="B821" s="5"/>
      <c r="C821" s="5"/>
      <c r="D821" s="5"/>
      <c r="E821" s="5"/>
      <c r="F821" s="5"/>
    </row>
    <row r="822" spans="2:6" ht="15.75" customHeight="1">
      <c r="B822" s="5"/>
      <c r="C822" s="5"/>
      <c r="D822" s="5"/>
      <c r="E822" s="5"/>
      <c r="F822" s="5"/>
    </row>
    <row r="823" spans="2:6" ht="15.75" customHeight="1">
      <c r="B823" s="5"/>
      <c r="C823" s="5"/>
      <c r="D823" s="5"/>
      <c r="E823" s="5"/>
      <c r="F823" s="5"/>
    </row>
    <row r="824" spans="2:6" ht="15.75" customHeight="1">
      <c r="B824" s="5"/>
      <c r="C824" s="5"/>
      <c r="D824" s="5"/>
      <c r="E824" s="5"/>
      <c r="F824" s="5"/>
    </row>
    <row r="825" spans="2:6" ht="15.75" customHeight="1">
      <c r="B825" s="5"/>
      <c r="C825" s="5"/>
      <c r="D825" s="5"/>
      <c r="E825" s="5"/>
      <c r="F825" s="5"/>
    </row>
    <row r="826" spans="2:6" ht="15.75" customHeight="1">
      <c r="B826" s="5"/>
      <c r="C826" s="5"/>
      <c r="D826" s="5"/>
      <c r="E826" s="5"/>
      <c r="F826" s="5"/>
    </row>
    <row r="827" spans="2:6" ht="15.75" customHeight="1">
      <c r="B827" s="5"/>
      <c r="C827" s="5"/>
      <c r="D827" s="5"/>
      <c r="E827" s="5"/>
      <c r="F827" s="5"/>
    </row>
    <row r="828" spans="2:6" ht="15.75" customHeight="1">
      <c r="B828" s="5"/>
      <c r="C828" s="5"/>
      <c r="D828" s="5"/>
      <c r="E828" s="5"/>
      <c r="F828" s="5"/>
    </row>
    <row r="829" spans="2:6" ht="15.75" customHeight="1">
      <c r="B829" s="5"/>
      <c r="C829" s="5"/>
      <c r="D829" s="5"/>
      <c r="E829" s="5"/>
      <c r="F829" s="5"/>
    </row>
    <row r="830" spans="2:6" ht="15.75" customHeight="1">
      <c r="B830" s="5"/>
      <c r="C830" s="5"/>
      <c r="D830" s="5"/>
      <c r="E830" s="5"/>
      <c r="F830" s="5"/>
    </row>
    <row r="831" spans="2:6" ht="15.75" customHeight="1">
      <c r="B831" s="5"/>
      <c r="C831" s="5"/>
      <c r="D831" s="5"/>
      <c r="E831" s="5"/>
      <c r="F831" s="5"/>
    </row>
    <row r="832" spans="2:6" ht="15.75" customHeight="1">
      <c r="B832" s="5"/>
      <c r="C832" s="5"/>
      <c r="D832" s="5"/>
      <c r="E832" s="5"/>
      <c r="F832" s="5"/>
    </row>
    <row r="833" spans="2:6" ht="15.75" customHeight="1">
      <c r="B833" s="5"/>
      <c r="C833" s="5"/>
      <c r="D833" s="5"/>
      <c r="E833" s="5"/>
      <c r="F833" s="5"/>
    </row>
    <row r="834" spans="2:6" ht="15.75" customHeight="1">
      <c r="B834" s="5"/>
      <c r="C834" s="5"/>
      <c r="D834" s="5"/>
      <c r="E834" s="5"/>
      <c r="F834" s="5"/>
    </row>
    <row r="835" spans="2:6" ht="15.75" customHeight="1">
      <c r="B835" s="5"/>
      <c r="C835" s="5"/>
      <c r="D835" s="5"/>
      <c r="E835" s="5"/>
      <c r="F835" s="5"/>
    </row>
    <row r="836" spans="2:6" ht="15.75" customHeight="1">
      <c r="B836" s="5"/>
      <c r="C836" s="5"/>
      <c r="D836" s="5"/>
      <c r="E836" s="5"/>
      <c r="F836" s="5"/>
    </row>
    <row r="837" spans="2:6" ht="15.75" customHeight="1">
      <c r="B837" s="5"/>
      <c r="C837" s="5"/>
      <c r="D837" s="5"/>
      <c r="E837" s="5"/>
      <c r="F837" s="5"/>
    </row>
    <row r="838" spans="2:6" ht="15.75" customHeight="1">
      <c r="B838" s="5"/>
      <c r="C838" s="5"/>
      <c r="D838" s="5"/>
      <c r="E838" s="5"/>
      <c r="F838" s="5"/>
    </row>
    <row r="839" spans="2:6" ht="15.75" customHeight="1">
      <c r="B839" s="5"/>
      <c r="C839" s="5"/>
      <c r="D839" s="5"/>
      <c r="E839" s="5"/>
      <c r="F839" s="5"/>
    </row>
    <row r="840" spans="2:6" ht="15.75" customHeight="1">
      <c r="B840" s="5"/>
      <c r="C840" s="5"/>
      <c r="D840" s="5"/>
      <c r="E840" s="5"/>
      <c r="F840" s="5"/>
    </row>
    <row r="841" spans="2:6" ht="15.75" customHeight="1">
      <c r="B841" s="5"/>
      <c r="C841" s="5"/>
      <c r="D841" s="5"/>
      <c r="E841" s="5"/>
      <c r="F841" s="5"/>
    </row>
    <row r="842" spans="2:6" ht="15.75" customHeight="1">
      <c r="B842" s="5"/>
      <c r="C842" s="5"/>
      <c r="D842" s="5"/>
      <c r="E842" s="5"/>
      <c r="F842" s="5"/>
    </row>
    <row r="843" spans="2:6" ht="15.75" customHeight="1">
      <c r="B843" s="5"/>
      <c r="C843" s="5"/>
      <c r="D843" s="5"/>
      <c r="E843" s="5"/>
      <c r="F843" s="5"/>
    </row>
    <row r="844" spans="2:6" ht="15.75" customHeight="1">
      <c r="B844" s="5"/>
      <c r="C844" s="5"/>
      <c r="D844" s="5"/>
      <c r="E844" s="5"/>
      <c r="F844" s="5"/>
    </row>
    <row r="845" spans="2:6" ht="15.75" customHeight="1">
      <c r="B845" s="5"/>
      <c r="C845" s="5"/>
      <c r="D845" s="5"/>
      <c r="E845" s="5"/>
      <c r="F845" s="5"/>
    </row>
    <row r="846" spans="2:6" ht="15.75" customHeight="1">
      <c r="B846" s="5"/>
      <c r="C846" s="5"/>
      <c r="D846" s="5"/>
      <c r="E846" s="5"/>
      <c r="F846" s="5"/>
    </row>
    <row r="847" spans="2:6" ht="15.75" customHeight="1">
      <c r="B847" s="5"/>
      <c r="C847" s="5"/>
      <c r="D847" s="5"/>
      <c r="E847" s="5"/>
      <c r="F847" s="5"/>
    </row>
    <row r="848" spans="2:6" ht="15.75" customHeight="1">
      <c r="B848" s="5"/>
      <c r="C848" s="5"/>
      <c r="D848" s="5"/>
      <c r="E848" s="5"/>
      <c r="F848" s="5"/>
    </row>
    <row r="849" spans="2:6" ht="15.75" customHeight="1">
      <c r="B849" s="5"/>
      <c r="C849" s="5"/>
      <c r="D849" s="5"/>
      <c r="E849" s="5"/>
      <c r="F849" s="5"/>
    </row>
    <row r="850" spans="2:6" ht="15.75" customHeight="1">
      <c r="B850" s="5"/>
      <c r="C850" s="5"/>
      <c r="D850" s="5"/>
      <c r="E850" s="5"/>
      <c r="F850" s="5"/>
    </row>
    <row r="851" spans="2:6" ht="15.75" customHeight="1">
      <c r="B851" s="5"/>
      <c r="C851" s="5"/>
      <c r="D851" s="5"/>
      <c r="E851" s="5"/>
      <c r="F851" s="5"/>
    </row>
    <row r="852" spans="2:6" ht="15.75" customHeight="1">
      <c r="B852" s="5"/>
      <c r="C852" s="5"/>
      <c r="D852" s="5"/>
      <c r="E852" s="5"/>
      <c r="F852" s="5"/>
    </row>
    <row r="853" spans="2:6" ht="15.75" customHeight="1">
      <c r="B853" s="5"/>
      <c r="C853" s="5"/>
      <c r="D853" s="5"/>
      <c r="E853" s="5"/>
      <c r="F853" s="5"/>
    </row>
    <row r="854" spans="2:6" ht="15.75" customHeight="1">
      <c r="B854" s="5"/>
      <c r="C854" s="5"/>
      <c r="D854" s="5"/>
      <c r="E854" s="5"/>
      <c r="F854" s="5"/>
    </row>
    <row r="855" spans="2:6" ht="15.75" customHeight="1">
      <c r="B855" s="5"/>
      <c r="C855" s="5"/>
      <c r="D855" s="5"/>
      <c r="E855" s="5"/>
      <c r="F855" s="5"/>
    </row>
    <row r="856" spans="2:6" ht="15.75" customHeight="1">
      <c r="B856" s="5"/>
      <c r="C856" s="5"/>
      <c r="D856" s="5"/>
      <c r="E856" s="5"/>
      <c r="F856" s="5"/>
    </row>
    <row r="857" spans="2:6" ht="15.75" customHeight="1">
      <c r="B857" s="5"/>
      <c r="C857" s="5"/>
      <c r="D857" s="5"/>
      <c r="E857" s="5"/>
      <c r="F857" s="5"/>
    </row>
    <row r="858" spans="2:6" ht="15.75" customHeight="1">
      <c r="B858" s="5"/>
      <c r="C858" s="5"/>
      <c r="D858" s="5"/>
      <c r="E858" s="5"/>
      <c r="F858" s="5"/>
    </row>
    <row r="859" spans="2:6" ht="15.75" customHeight="1">
      <c r="B859" s="5"/>
      <c r="C859" s="5"/>
      <c r="D859" s="5"/>
      <c r="E859" s="5"/>
      <c r="F859" s="5"/>
    </row>
    <row r="860" spans="2:6" ht="15.75" customHeight="1">
      <c r="B860" s="5"/>
      <c r="C860" s="5"/>
      <c r="D860" s="5"/>
      <c r="E860" s="5"/>
      <c r="F860" s="5"/>
    </row>
    <row r="861" spans="2:6" ht="15.75" customHeight="1">
      <c r="B861" s="5"/>
      <c r="C861" s="5"/>
      <c r="D861" s="5"/>
      <c r="E861" s="5"/>
      <c r="F861" s="5"/>
    </row>
    <row r="862" spans="2:6" ht="15.75" customHeight="1">
      <c r="B862" s="5"/>
      <c r="C862" s="5"/>
      <c r="D862" s="5"/>
      <c r="E862" s="5"/>
      <c r="F862" s="5"/>
    </row>
    <row r="863" spans="2:6" ht="15.75" customHeight="1">
      <c r="B863" s="5"/>
      <c r="C863" s="5"/>
      <c r="D863" s="5"/>
      <c r="E863" s="5"/>
      <c r="F863" s="5"/>
    </row>
    <row r="864" spans="2:6" ht="15.75" customHeight="1">
      <c r="B864" s="5"/>
      <c r="C864" s="5"/>
      <c r="D864" s="5"/>
      <c r="E864" s="5"/>
      <c r="F864" s="5"/>
    </row>
    <row r="865" spans="2:6" ht="15.75" customHeight="1">
      <c r="B865" s="5"/>
      <c r="C865" s="5"/>
      <c r="D865" s="5"/>
      <c r="E865" s="5"/>
      <c r="F865" s="5"/>
    </row>
    <row r="866" spans="2:6" ht="15.75" customHeight="1">
      <c r="B866" s="5"/>
      <c r="C866" s="5"/>
      <c r="D866" s="5"/>
      <c r="E866" s="5"/>
      <c r="F866" s="5"/>
    </row>
    <row r="867" spans="2:6" ht="15.75" customHeight="1">
      <c r="B867" s="5"/>
      <c r="C867" s="5"/>
      <c r="D867" s="5"/>
      <c r="E867" s="5"/>
      <c r="F867" s="5"/>
    </row>
    <row r="868" spans="2:6" ht="15.75" customHeight="1">
      <c r="B868" s="5"/>
      <c r="C868" s="5"/>
      <c r="D868" s="5"/>
      <c r="E868" s="5"/>
      <c r="F868" s="5"/>
    </row>
    <row r="869" spans="2:6" ht="15.75" customHeight="1">
      <c r="B869" s="5"/>
      <c r="C869" s="5"/>
      <c r="D869" s="5"/>
      <c r="E869" s="5"/>
      <c r="F869" s="5"/>
    </row>
    <row r="870" spans="2:6" ht="15.75" customHeight="1">
      <c r="B870" s="5"/>
      <c r="C870" s="5"/>
      <c r="D870" s="5"/>
      <c r="E870" s="5"/>
      <c r="F870" s="5"/>
    </row>
    <row r="871" spans="2:6" ht="15.75" customHeight="1">
      <c r="B871" s="5"/>
      <c r="C871" s="5"/>
      <c r="D871" s="5"/>
      <c r="E871" s="5"/>
      <c r="F871" s="5"/>
    </row>
    <row r="872" spans="2:6" ht="15.75" customHeight="1">
      <c r="B872" s="5"/>
      <c r="C872" s="5"/>
      <c r="D872" s="5"/>
      <c r="E872" s="5"/>
      <c r="F872" s="5"/>
    </row>
    <row r="873" spans="2:6" ht="15.75" customHeight="1">
      <c r="B873" s="5"/>
      <c r="C873" s="5"/>
      <c r="D873" s="5"/>
      <c r="E873" s="5"/>
      <c r="F873" s="5"/>
    </row>
    <row r="874" spans="2:6" ht="15.75" customHeight="1">
      <c r="B874" s="5"/>
      <c r="C874" s="5"/>
      <c r="D874" s="5"/>
      <c r="E874" s="5"/>
      <c r="F874" s="5"/>
    </row>
    <row r="875" spans="2:6" ht="15.75" customHeight="1">
      <c r="B875" s="5"/>
      <c r="C875" s="5"/>
      <c r="D875" s="5"/>
      <c r="E875" s="5"/>
      <c r="F875" s="5"/>
    </row>
    <row r="876" spans="2:6" ht="15.75" customHeight="1">
      <c r="B876" s="5"/>
      <c r="C876" s="5"/>
      <c r="D876" s="5"/>
      <c r="E876" s="5"/>
      <c r="F876" s="5"/>
    </row>
    <row r="877" spans="2:6" ht="15.75" customHeight="1">
      <c r="B877" s="5"/>
      <c r="C877" s="5"/>
      <c r="D877" s="5"/>
      <c r="E877" s="5"/>
      <c r="F877" s="5"/>
    </row>
    <row r="878" spans="2:6" ht="15.75" customHeight="1">
      <c r="B878" s="5"/>
      <c r="C878" s="5"/>
      <c r="D878" s="5"/>
      <c r="E878" s="5"/>
      <c r="F878" s="5"/>
    </row>
    <row r="879" spans="2:6" ht="15.75" customHeight="1">
      <c r="B879" s="5"/>
      <c r="C879" s="5"/>
      <c r="D879" s="5"/>
      <c r="E879" s="5"/>
      <c r="F879" s="5"/>
    </row>
    <row r="880" spans="2:6" ht="15.75" customHeight="1">
      <c r="B880" s="5"/>
      <c r="C880" s="5"/>
      <c r="D880" s="5"/>
      <c r="E880" s="5"/>
      <c r="F880" s="5"/>
    </row>
    <row r="881" spans="2:6" ht="15.75" customHeight="1">
      <c r="B881" s="5"/>
      <c r="C881" s="5"/>
      <c r="D881" s="5"/>
      <c r="E881" s="5"/>
      <c r="F881" s="5"/>
    </row>
    <row r="882" spans="2:6" ht="15.75" customHeight="1">
      <c r="B882" s="5"/>
      <c r="C882" s="5"/>
      <c r="D882" s="5"/>
      <c r="E882" s="5"/>
      <c r="F882" s="5"/>
    </row>
    <row r="883" spans="2:6" ht="15.75" customHeight="1">
      <c r="B883" s="5"/>
      <c r="C883" s="5"/>
      <c r="D883" s="5"/>
      <c r="E883" s="5"/>
      <c r="F883" s="5"/>
    </row>
    <row r="884" spans="2:6" ht="15.75" customHeight="1">
      <c r="B884" s="5"/>
      <c r="C884" s="5"/>
      <c r="D884" s="5"/>
      <c r="E884" s="5"/>
      <c r="F884" s="5"/>
    </row>
    <row r="885" spans="2:6" ht="15.75" customHeight="1">
      <c r="B885" s="5"/>
      <c r="C885" s="5"/>
      <c r="D885" s="5"/>
      <c r="E885" s="5"/>
      <c r="F885" s="5"/>
    </row>
    <row r="886" spans="2:6" ht="15.75" customHeight="1">
      <c r="B886" s="5"/>
      <c r="C886" s="5"/>
      <c r="D886" s="5"/>
      <c r="E886" s="5"/>
      <c r="F886" s="5"/>
    </row>
    <row r="887" spans="2:6" ht="15.75" customHeight="1">
      <c r="B887" s="5"/>
      <c r="C887" s="5"/>
      <c r="D887" s="5"/>
      <c r="E887" s="5"/>
      <c r="F887" s="5"/>
    </row>
    <row r="888" spans="2:6" ht="15.75" customHeight="1">
      <c r="B888" s="5"/>
      <c r="C888" s="5"/>
      <c r="D888" s="5"/>
      <c r="E888" s="5"/>
      <c r="F888" s="5"/>
    </row>
    <row r="889" spans="2:6" ht="15.75" customHeight="1">
      <c r="B889" s="5"/>
      <c r="C889" s="5"/>
      <c r="D889" s="5"/>
      <c r="E889" s="5"/>
      <c r="F889" s="5"/>
    </row>
    <row r="890" spans="2:6" ht="15.75" customHeight="1">
      <c r="B890" s="5"/>
      <c r="C890" s="5"/>
      <c r="D890" s="5"/>
      <c r="E890" s="5"/>
      <c r="F890" s="5"/>
    </row>
    <row r="891" spans="2:6" ht="15.75" customHeight="1">
      <c r="B891" s="5"/>
      <c r="C891" s="5"/>
      <c r="D891" s="5"/>
      <c r="E891" s="5"/>
      <c r="F891" s="5"/>
    </row>
    <row r="892" spans="2:6" ht="15.75" customHeight="1">
      <c r="B892" s="5"/>
      <c r="C892" s="5"/>
      <c r="D892" s="5"/>
      <c r="E892" s="5"/>
      <c r="F892" s="5"/>
    </row>
    <row r="893" spans="2:6" ht="15.75" customHeight="1">
      <c r="B893" s="5"/>
      <c r="C893" s="5"/>
      <c r="D893" s="5"/>
      <c r="E893" s="5"/>
      <c r="F893" s="5"/>
    </row>
    <row r="894" spans="2:6" ht="15.75" customHeight="1">
      <c r="B894" s="5"/>
      <c r="C894" s="5"/>
      <c r="D894" s="5"/>
      <c r="E894" s="5"/>
      <c r="F894" s="5"/>
    </row>
    <row r="895" spans="2:6" ht="15.75" customHeight="1">
      <c r="B895" s="5"/>
      <c r="C895" s="5"/>
      <c r="D895" s="5"/>
      <c r="E895" s="5"/>
      <c r="F895" s="5"/>
    </row>
    <row r="896" spans="2:6" ht="15.75" customHeight="1">
      <c r="B896" s="5"/>
      <c r="C896" s="5"/>
      <c r="D896" s="5"/>
      <c r="E896" s="5"/>
      <c r="F896" s="5"/>
    </row>
    <row r="897" spans="2:6" ht="15.75" customHeight="1">
      <c r="B897" s="5"/>
      <c r="C897" s="5"/>
      <c r="D897" s="5"/>
      <c r="E897" s="5"/>
      <c r="F897" s="5"/>
    </row>
    <row r="898" spans="2:6" ht="15.75" customHeight="1">
      <c r="B898" s="5"/>
      <c r="C898" s="5"/>
      <c r="D898" s="5"/>
      <c r="E898" s="5"/>
      <c r="F898" s="5"/>
    </row>
    <row r="899" spans="2:6" ht="15.75" customHeight="1">
      <c r="B899" s="5"/>
      <c r="C899" s="5"/>
      <c r="D899" s="5"/>
      <c r="E899" s="5"/>
      <c r="F899" s="5"/>
    </row>
    <row r="900" spans="2:6" ht="15.75" customHeight="1">
      <c r="B900" s="5"/>
      <c r="C900" s="5"/>
      <c r="D900" s="5"/>
      <c r="E900" s="5"/>
      <c r="F900" s="5"/>
    </row>
    <row r="901" spans="2:6" ht="15.75" customHeight="1">
      <c r="B901" s="5"/>
      <c r="C901" s="5"/>
      <c r="D901" s="5"/>
      <c r="E901" s="5"/>
      <c r="F901" s="5"/>
    </row>
    <row r="902" spans="2:6" ht="15.75" customHeight="1">
      <c r="B902" s="5"/>
      <c r="C902" s="5"/>
      <c r="D902" s="5"/>
      <c r="E902" s="5"/>
      <c r="F902" s="5"/>
    </row>
    <row r="903" spans="2:6" ht="15.75" customHeight="1">
      <c r="B903" s="5"/>
      <c r="C903" s="5"/>
      <c r="D903" s="5"/>
      <c r="E903" s="5"/>
      <c r="F903" s="5"/>
    </row>
    <row r="904" spans="2:6" ht="15.75" customHeight="1">
      <c r="B904" s="5"/>
      <c r="C904" s="5"/>
      <c r="D904" s="5"/>
      <c r="E904" s="5"/>
      <c r="F904" s="5"/>
    </row>
    <row r="905" spans="2:6" ht="15.75" customHeight="1">
      <c r="B905" s="5"/>
      <c r="C905" s="5"/>
      <c r="D905" s="5"/>
      <c r="E905" s="5"/>
      <c r="F905" s="5"/>
    </row>
    <row r="906" spans="2:6" ht="15.75" customHeight="1">
      <c r="B906" s="5"/>
      <c r="C906" s="5"/>
      <c r="D906" s="5"/>
      <c r="E906" s="5"/>
      <c r="F906" s="5"/>
    </row>
    <row r="907" spans="2:6" ht="15.75" customHeight="1">
      <c r="B907" s="5"/>
      <c r="C907" s="5"/>
      <c r="D907" s="5"/>
      <c r="E907" s="5"/>
      <c r="F907" s="5"/>
    </row>
    <row r="908" spans="2:6" ht="15.75" customHeight="1">
      <c r="B908" s="5"/>
      <c r="C908" s="5"/>
      <c r="D908" s="5"/>
      <c r="E908" s="5"/>
      <c r="F908" s="5"/>
    </row>
    <row r="909" spans="2:6" ht="15.75" customHeight="1">
      <c r="B909" s="5"/>
      <c r="C909" s="5"/>
      <c r="D909" s="5"/>
      <c r="E909" s="5"/>
      <c r="F909" s="5"/>
    </row>
    <row r="910" spans="2:6" ht="15.75" customHeight="1">
      <c r="B910" s="5"/>
      <c r="C910" s="5"/>
      <c r="D910" s="5"/>
      <c r="E910" s="5"/>
      <c r="F910" s="5"/>
    </row>
    <row r="911" spans="2:6" ht="15.75" customHeight="1">
      <c r="B911" s="5"/>
      <c r="C911" s="5"/>
      <c r="D911" s="5"/>
      <c r="E911" s="5"/>
      <c r="F911" s="5"/>
    </row>
    <row r="912" spans="2:6" ht="15.75" customHeight="1">
      <c r="B912" s="5"/>
      <c r="C912" s="5"/>
      <c r="D912" s="5"/>
      <c r="E912" s="5"/>
      <c r="F912" s="5"/>
    </row>
    <row r="913" spans="2:6" ht="15.75" customHeight="1">
      <c r="B913" s="5"/>
      <c r="C913" s="5"/>
      <c r="D913" s="5"/>
      <c r="E913" s="5"/>
      <c r="F913" s="5"/>
    </row>
    <row r="914" spans="2:6" ht="15.75" customHeight="1">
      <c r="B914" s="5"/>
      <c r="C914" s="5"/>
      <c r="D914" s="5"/>
      <c r="E914" s="5"/>
      <c r="F914" s="5"/>
    </row>
    <row r="915" spans="2:6" ht="15.75" customHeight="1">
      <c r="B915" s="5"/>
      <c r="C915" s="5"/>
      <c r="D915" s="5"/>
      <c r="E915" s="5"/>
      <c r="F915" s="5"/>
    </row>
    <row r="916" spans="2:6" ht="15.75" customHeight="1">
      <c r="B916" s="5"/>
      <c r="C916" s="5"/>
      <c r="D916" s="5"/>
      <c r="E916" s="5"/>
      <c r="F916" s="5"/>
    </row>
    <row r="917" spans="2:6" ht="15.75" customHeight="1">
      <c r="B917" s="5"/>
      <c r="C917" s="5"/>
      <c r="D917" s="5"/>
      <c r="E917" s="5"/>
      <c r="F917" s="5"/>
    </row>
    <row r="918" spans="2:6" ht="15.75" customHeight="1">
      <c r="B918" s="5"/>
      <c r="C918" s="5"/>
      <c r="D918" s="5"/>
      <c r="E918" s="5"/>
      <c r="F918" s="5"/>
    </row>
    <row r="919" spans="2:6" ht="15.75" customHeight="1">
      <c r="B919" s="5"/>
      <c r="C919" s="5"/>
      <c r="D919" s="5"/>
      <c r="E919" s="5"/>
      <c r="F919" s="5"/>
    </row>
    <row r="920" spans="2:6" ht="15.75" customHeight="1">
      <c r="B920" s="5"/>
      <c r="C920" s="5"/>
      <c r="D920" s="5"/>
      <c r="E920" s="5"/>
      <c r="F920" s="5"/>
    </row>
    <row r="921" spans="2:6" ht="15.75" customHeight="1">
      <c r="B921" s="5"/>
      <c r="C921" s="5"/>
      <c r="D921" s="5"/>
      <c r="E921" s="5"/>
      <c r="F921" s="5"/>
    </row>
    <row r="922" spans="2:6" ht="15.75" customHeight="1">
      <c r="B922" s="5"/>
      <c r="C922" s="5"/>
      <c r="D922" s="5"/>
      <c r="E922" s="5"/>
      <c r="F922" s="5"/>
    </row>
    <row r="923" spans="2:6" ht="15.75" customHeight="1">
      <c r="B923" s="5"/>
      <c r="C923" s="5"/>
      <c r="D923" s="5"/>
      <c r="E923" s="5"/>
      <c r="F923" s="5"/>
    </row>
    <row r="924" spans="2:6" ht="15.75" customHeight="1">
      <c r="B924" s="5"/>
      <c r="C924" s="5"/>
      <c r="D924" s="5"/>
      <c r="E924" s="5"/>
      <c r="F924" s="5"/>
    </row>
    <row r="925" spans="2:6" ht="15.75" customHeight="1">
      <c r="B925" s="5"/>
      <c r="C925" s="5"/>
      <c r="D925" s="5"/>
      <c r="E925" s="5"/>
      <c r="F925" s="5"/>
    </row>
    <row r="926" spans="2:6" ht="15.75" customHeight="1">
      <c r="B926" s="5"/>
      <c r="C926" s="5"/>
      <c r="D926" s="5"/>
      <c r="E926" s="5"/>
      <c r="F926" s="5"/>
    </row>
    <row r="927" spans="2:6" ht="15.75" customHeight="1">
      <c r="B927" s="5"/>
      <c r="C927" s="5"/>
      <c r="D927" s="5"/>
      <c r="E927" s="5"/>
      <c r="F927" s="5"/>
    </row>
    <row r="928" spans="2:6" ht="15.75" customHeight="1">
      <c r="B928" s="5"/>
      <c r="C928" s="5"/>
      <c r="D928" s="5"/>
      <c r="E928" s="5"/>
      <c r="F928" s="5"/>
    </row>
    <row r="929" spans="2:6" ht="15.75" customHeight="1">
      <c r="B929" s="5"/>
      <c r="C929" s="5"/>
      <c r="D929" s="5"/>
      <c r="E929" s="5"/>
      <c r="F929" s="5"/>
    </row>
    <row r="930" spans="2:6" ht="15.75" customHeight="1">
      <c r="B930" s="5"/>
      <c r="C930" s="5"/>
      <c r="D930" s="5"/>
      <c r="E930" s="5"/>
      <c r="F930" s="5"/>
    </row>
    <row r="931" spans="2:6" ht="15.75" customHeight="1">
      <c r="B931" s="5"/>
      <c r="C931" s="5"/>
      <c r="D931" s="5"/>
      <c r="E931" s="5"/>
      <c r="F931" s="5"/>
    </row>
    <row r="932" spans="2:6" ht="15.75" customHeight="1">
      <c r="B932" s="5"/>
      <c r="C932" s="5"/>
      <c r="D932" s="5"/>
      <c r="E932" s="5"/>
      <c r="F932" s="5"/>
    </row>
    <row r="933" spans="2:6" ht="15.75" customHeight="1">
      <c r="B933" s="5"/>
      <c r="C933" s="5"/>
      <c r="D933" s="5"/>
      <c r="E933" s="5"/>
      <c r="F933" s="5"/>
    </row>
    <row r="934" spans="2:6" ht="15.75" customHeight="1">
      <c r="B934" s="5"/>
      <c r="C934" s="5"/>
      <c r="D934" s="5"/>
      <c r="E934" s="5"/>
      <c r="F934" s="5"/>
    </row>
    <row r="935" spans="2:6" ht="15.75" customHeight="1">
      <c r="B935" s="5"/>
      <c r="C935" s="5"/>
      <c r="D935" s="5"/>
      <c r="E935" s="5"/>
      <c r="F935" s="5"/>
    </row>
    <row r="936" spans="2:6" ht="15.75" customHeight="1">
      <c r="B936" s="5"/>
      <c r="C936" s="5"/>
      <c r="D936" s="5"/>
      <c r="E936" s="5"/>
      <c r="F936" s="5"/>
    </row>
    <row r="937" spans="2:6" ht="15.75" customHeight="1">
      <c r="B937" s="5"/>
      <c r="C937" s="5"/>
      <c r="D937" s="5"/>
      <c r="E937" s="5"/>
      <c r="F937" s="5"/>
    </row>
    <row r="938" spans="2:6" ht="15.75" customHeight="1">
      <c r="B938" s="5"/>
      <c r="C938" s="5"/>
      <c r="D938" s="5"/>
      <c r="E938" s="5"/>
      <c r="F938" s="5"/>
    </row>
    <row r="939" spans="2:6" ht="15.75" customHeight="1">
      <c r="B939" s="5"/>
      <c r="C939" s="5"/>
      <c r="D939" s="5"/>
      <c r="E939" s="5"/>
      <c r="F939" s="5"/>
    </row>
    <row r="940" spans="2:6" ht="15.75" customHeight="1">
      <c r="B940" s="5"/>
      <c r="C940" s="5"/>
      <c r="D940" s="5"/>
      <c r="E940" s="5"/>
      <c r="F940" s="5"/>
    </row>
    <row r="941" spans="2:6" ht="15.75" customHeight="1">
      <c r="B941" s="5"/>
      <c r="C941" s="5"/>
      <c r="D941" s="5"/>
      <c r="E941" s="5"/>
      <c r="F941" s="5"/>
    </row>
    <row r="942" spans="2:6" ht="15.75" customHeight="1">
      <c r="B942" s="5"/>
      <c r="C942" s="5"/>
      <c r="D942" s="5"/>
      <c r="E942" s="5"/>
      <c r="F942" s="5"/>
    </row>
    <row r="943" spans="2:6" ht="15.75" customHeight="1">
      <c r="B943" s="5"/>
      <c r="C943" s="5"/>
      <c r="D943" s="5"/>
      <c r="E943" s="5"/>
      <c r="F943" s="5"/>
    </row>
    <row r="944" spans="2:6" ht="15.75" customHeight="1">
      <c r="B944" s="5"/>
      <c r="C944" s="5"/>
      <c r="D944" s="5"/>
      <c r="E944" s="5"/>
      <c r="F944" s="5"/>
    </row>
    <row r="945" spans="2:6" ht="15.75" customHeight="1">
      <c r="B945" s="5"/>
      <c r="C945" s="5"/>
      <c r="D945" s="5"/>
      <c r="E945" s="5"/>
      <c r="F945" s="5"/>
    </row>
    <row r="946" spans="2:6" ht="15.75" customHeight="1">
      <c r="B946" s="5"/>
      <c r="C946" s="5"/>
      <c r="D946" s="5"/>
      <c r="E946" s="5"/>
      <c r="F946" s="5"/>
    </row>
    <row r="947" spans="2:6" ht="15.75" customHeight="1">
      <c r="B947" s="5"/>
      <c r="C947" s="5"/>
      <c r="D947" s="5"/>
      <c r="E947" s="5"/>
      <c r="F947" s="5"/>
    </row>
    <row r="948" spans="2:6" ht="15.75" customHeight="1">
      <c r="B948" s="5"/>
      <c r="C948" s="5"/>
      <c r="D948" s="5"/>
      <c r="E948" s="5"/>
      <c r="F948" s="5"/>
    </row>
    <row r="949" spans="2:6" ht="15.75" customHeight="1">
      <c r="B949" s="5"/>
      <c r="C949" s="5"/>
      <c r="D949" s="5"/>
      <c r="E949" s="5"/>
      <c r="F949" s="5"/>
    </row>
    <row r="950" spans="2:6" ht="15.75" customHeight="1">
      <c r="B950" s="5"/>
      <c r="C950" s="5"/>
      <c r="D950" s="5"/>
      <c r="E950" s="5"/>
      <c r="F950" s="5"/>
    </row>
    <row r="951" spans="2:6" ht="15.75" customHeight="1">
      <c r="B951" s="5"/>
      <c r="C951" s="5"/>
      <c r="D951" s="5"/>
      <c r="E951" s="5"/>
      <c r="F951" s="5"/>
    </row>
    <row r="952" spans="2:6" ht="15.75" customHeight="1">
      <c r="B952" s="5"/>
      <c r="C952" s="5"/>
      <c r="D952" s="5"/>
      <c r="E952" s="5"/>
      <c r="F952" s="5"/>
    </row>
    <row r="953" spans="2:6" ht="15.75" customHeight="1">
      <c r="B953" s="5"/>
      <c r="C953" s="5"/>
      <c r="D953" s="5"/>
      <c r="E953" s="5"/>
      <c r="F953" s="5"/>
    </row>
    <row r="954" spans="2:6" ht="15.75" customHeight="1">
      <c r="B954" s="5"/>
      <c r="C954" s="5"/>
      <c r="D954" s="5"/>
      <c r="E954" s="5"/>
      <c r="F954" s="5"/>
    </row>
    <row r="955" spans="2:6" ht="15.75" customHeight="1">
      <c r="B955" s="5"/>
      <c r="C955" s="5"/>
      <c r="D955" s="5"/>
      <c r="E955" s="5"/>
      <c r="F955" s="5"/>
    </row>
    <row r="956" spans="2:6" ht="15.75" customHeight="1">
      <c r="B956" s="5"/>
      <c r="C956" s="5"/>
      <c r="D956" s="5"/>
      <c r="E956" s="5"/>
      <c r="F956" s="5"/>
    </row>
    <row r="957" spans="2:6" ht="15.75" customHeight="1">
      <c r="B957" s="5"/>
      <c r="C957" s="5"/>
      <c r="D957" s="5"/>
      <c r="E957" s="5"/>
      <c r="F957" s="5"/>
    </row>
    <row r="958" spans="2:6" ht="15.75" customHeight="1">
      <c r="B958" s="5"/>
      <c r="C958" s="5"/>
      <c r="D958" s="5"/>
      <c r="E958" s="5"/>
      <c r="F958" s="5"/>
    </row>
    <row r="959" spans="2:6" ht="15.75" customHeight="1">
      <c r="B959" s="5"/>
      <c r="C959" s="5"/>
      <c r="D959" s="5"/>
      <c r="E959" s="5"/>
      <c r="F959" s="5"/>
    </row>
    <row r="960" spans="2:6" ht="15.75" customHeight="1">
      <c r="B960" s="5"/>
      <c r="C960" s="5"/>
      <c r="D960" s="5"/>
      <c r="E960" s="5"/>
      <c r="F960" s="5"/>
    </row>
    <row r="961" spans="2:6" ht="15.75" customHeight="1">
      <c r="B961" s="5"/>
      <c r="C961" s="5"/>
      <c r="D961" s="5"/>
      <c r="E961" s="5"/>
      <c r="F961" s="5"/>
    </row>
    <row r="962" spans="2:6" ht="15.75" customHeight="1">
      <c r="B962" s="5"/>
      <c r="C962" s="5"/>
      <c r="D962" s="5"/>
      <c r="E962" s="5"/>
      <c r="F962" s="5"/>
    </row>
    <row r="963" spans="2:6" ht="15.75" customHeight="1">
      <c r="B963" s="5"/>
      <c r="C963" s="5"/>
      <c r="D963" s="5"/>
      <c r="E963" s="5"/>
      <c r="F963" s="5"/>
    </row>
    <row r="964" spans="2:6" ht="15.75" customHeight="1">
      <c r="B964" s="5"/>
      <c r="C964" s="5"/>
      <c r="D964" s="5"/>
      <c r="E964" s="5"/>
      <c r="F964" s="5"/>
    </row>
    <row r="965" spans="2:6" ht="15.75" customHeight="1">
      <c r="B965" s="5"/>
      <c r="C965" s="5"/>
      <c r="D965" s="5"/>
      <c r="E965" s="5"/>
      <c r="F965" s="5"/>
    </row>
    <row r="966" spans="2:6" ht="15.75" customHeight="1">
      <c r="B966" s="5"/>
      <c r="C966" s="5"/>
      <c r="D966" s="5"/>
      <c r="E966" s="5"/>
      <c r="F966" s="5"/>
    </row>
    <row r="967" spans="2:6" ht="15.75" customHeight="1">
      <c r="B967" s="5"/>
      <c r="C967" s="5"/>
      <c r="D967" s="5"/>
      <c r="E967" s="5"/>
      <c r="F967" s="5"/>
    </row>
    <row r="968" spans="2:6" ht="15.75" customHeight="1">
      <c r="B968" s="5"/>
      <c r="C968" s="5"/>
      <c r="D968" s="5"/>
      <c r="E968" s="5"/>
      <c r="F968" s="5"/>
    </row>
    <row r="969" spans="2:6" ht="15.75" customHeight="1">
      <c r="B969" s="5"/>
      <c r="C969" s="5"/>
      <c r="D969" s="5"/>
      <c r="E969" s="5"/>
      <c r="F969" s="5"/>
    </row>
    <row r="970" spans="2:6" ht="15.75" customHeight="1">
      <c r="B970" s="5"/>
      <c r="C970" s="5"/>
      <c r="D970" s="5"/>
      <c r="E970" s="5"/>
      <c r="F970" s="5"/>
    </row>
    <row r="971" spans="2:6" ht="15.75" customHeight="1">
      <c r="B971" s="5"/>
      <c r="C971" s="5"/>
      <c r="D971" s="5"/>
      <c r="E971" s="5"/>
      <c r="F971" s="5"/>
    </row>
    <row r="972" spans="2:6" ht="15.75" customHeight="1">
      <c r="B972" s="5"/>
      <c r="C972" s="5"/>
      <c r="D972" s="5"/>
      <c r="E972" s="5"/>
      <c r="F972" s="5"/>
    </row>
    <row r="973" spans="2:6" ht="15.75" customHeight="1">
      <c r="B973" s="5"/>
      <c r="C973" s="5"/>
      <c r="D973" s="5"/>
      <c r="E973" s="5"/>
      <c r="F973" s="5"/>
    </row>
    <row r="974" spans="2:6" ht="15.75" customHeight="1">
      <c r="B974" s="5"/>
      <c r="C974" s="5"/>
      <c r="D974" s="5"/>
      <c r="E974" s="5"/>
      <c r="F974" s="5"/>
    </row>
    <row r="975" spans="2:6" ht="15.75" customHeight="1">
      <c r="B975" s="5"/>
      <c r="C975" s="5"/>
      <c r="D975" s="5"/>
      <c r="E975" s="5"/>
      <c r="F975" s="5"/>
    </row>
    <row r="976" spans="2:6" ht="15.75" customHeight="1">
      <c r="B976" s="5"/>
      <c r="C976" s="5"/>
      <c r="D976" s="5"/>
      <c r="E976" s="5"/>
      <c r="F976" s="5"/>
    </row>
    <row r="977" spans="2:6" ht="15.75" customHeight="1">
      <c r="B977" s="5"/>
      <c r="C977" s="5"/>
      <c r="D977" s="5"/>
      <c r="E977" s="5"/>
      <c r="F977" s="5"/>
    </row>
    <row r="978" spans="2:6" ht="15.75" customHeight="1">
      <c r="B978" s="5"/>
      <c r="C978" s="5"/>
      <c r="D978" s="5"/>
      <c r="E978" s="5"/>
      <c r="F978" s="5"/>
    </row>
    <row r="979" spans="2:6" ht="15.75" customHeight="1">
      <c r="B979" s="5"/>
      <c r="C979" s="5"/>
      <c r="D979" s="5"/>
      <c r="E979" s="5"/>
      <c r="F979" s="5"/>
    </row>
    <row r="980" spans="2:6" ht="15.75" customHeight="1">
      <c r="B980" s="5"/>
      <c r="C980" s="5"/>
      <c r="D980" s="5"/>
      <c r="E980" s="5"/>
      <c r="F980" s="5"/>
    </row>
    <row r="981" spans="2:6" ht="15.75" customHeight="1">
      <c r="B981" s="5"/>
      <c r="C981" s="5"/>
      <c r="D981" s="5"/>
      <c r="E981" s="5"/>
      <c r="F981" s="5"/>
    </row>
    <row r="982" spans="2:6" ht="15.75" customHeight="1">
      <c r="B982" s="5"/>
      <c r="C982" s="5"/>
      <c r="D982" s="5"/>
      <c r="E982" s="5"/>
      <c r="F982" s="5"/>
    </row>
    <row r="983" spans="2:6" ht="15.75" customHeight="1">
      <c r="B983" s="5"/>
      <c r="C983" s="5"/>
      <c r="D983" s="5"/>
      <c r="E983" s="5"/>
      <c r="F983" s="5"/>
    </row>
    <row r="984" spans="2:6" ht="15.75" customHeight="1">
      <c r="B984" s="5"/>
      <c r="C984" s="5"/>
      <c r="D984" s="5"/>
      <c r="E984" s="5"/>
      <c r="F984" s="5"/>
    </row>
    <row r="985" spans="2:6" ht="15.75" customHeight="1">
      <c r="B985" s="5"/>
      <c r="C985" s="5"/>
      <c r="D985" s="5"/>
      <c r="E985" s="5"/>
      <c r="F985" s="5"/>
    </row>
    <row r="986" spans="2:6" ht="15.75" customHeight="1">
      <c r="B986" s="5"/>
      <c r="C986" s="5"/>
      <c r="D986" s="5"/>
      <c r="E986" s="5"/>
      <c r="F986" s="5"/>
    </row>
    <row r="987" spans="2:6" ht="15.75" customHeight="1">
      <c r="B987" s="5"/>
      <c r="C987" s="5"/>
      <c r="D987" s="5"/>
      <c r="E987" s="5"/>
      <c r="F987" s="5"/>
    </row>
    <row r="988" spans="2:6" ht="15.75" customHeight="1">
      <c r="B988" s="5"/>
      <c r="C988" s="5"/>
      <c r="D988" s="5"/>
      <c r="E988" s="5"/>
      <c r="F988" s="5"/>
    </row>
    <row r="989" spans="2:6" ht="15.75" customHeight="1">
      <c r="B989" s="5"/>
      <c r="C989" s="5"/>
      <c r="D989" s="5"/>
      <c r="E989" s="5"/>
      <c r="F989" s="5"/>
    </row>
    <row r="990" spans="2:6" ht="15.75" customHeight="1">
      <c r="B990" s="5"/>
      <c r="C990" s="5"/>
      <c r="D990" s="5"/>
      <c r="E990" s="5"/>
      <c r="F990" s="5"/>
    </row>
    <row r="991" spans="2:6" ht="15.75" customHeight="1">
      <c r="B991" s="5"/>
      <c r="C991" s="5"/>
      <c r="D991" s="5"/>
      <c r="E991" s="5"/>
      <c r="F991" s="5"/>
    </row>
    <row r="992" spans="2:6" ht="15.75" customHeight="1">
      <c r="B992" s="5"/>
      <c r="C992" s="5"/>
      <c r="D992" s="5"/>
      <c r="E992" s="5"/>
      <c r="F992" s="5"/>
    </row>
    <row r="993" spans="2:6" ht="15.75" customHeight="1">
      <c r="B993" s="5"/>
      <c r="C993" s="5"/>
      <c r="D993" s="5"/>
      <c r="E993" s="5"/>
      <c r="F993" s="5"/>
    </row>
    <row r="994" spans="2:6" ht="15.75" customHeight="1">
      <c r="B994" s="5"/>
      <c r="C994" s="5"/>
      <c r="D994" s="5"/>
      <c r="E994" s="5"/>
      <c r="F994" s="5"/>
    </row>
    <row r="995" spans="2:6" ht="15.75" customHeight="1">
      <c r="B995" s="5"/>
      <c r="C995" s="5"/>
      <c r="D995" s="5"/>
      <c r="E995" s="5"/>
      <c r="F995" s="5"/>
    </row>
    <row r="996" spans="2:6" ht="15.75" customHeight="1">
      <c r="B996" s="5"/>
      <c r="C996" s="5"/>
      <c r="D996" s="5"/>
      <c r="E996" s="5"/>
      <c r="F996" s="5"/>
    </row>
    <row r="997" spans="2:6" ht="15.75" customHeight="1">
      <c r="B997" s="5"/>
      <c r="C997" s="5"/>
      <c r="D997" s="5"/>
      <c r="E997" s="5"/>
      <c r="F997" s="5"/>
    </row>
    <row r="998" spans="2:6" ht="15.75" customHeight="1">
      <c r="B998" s="5"/>
      <c r="C998" s="5"/>
      <c r="D998" s="5"/>
      <c r="E998" s="5"/>
      <c r="F998" s="5"/>
    </row>
    <row r="999" spans="2:6" ht="15.75" customHeight="1">
      <c r="B999" s="5"/>
      <c r="C999" s="5"/>
      <c r="D999" s="5"/>
      <c r="E999" s="5"/>
      <c r="F999" s="5"/>
    </row>
    <row r="1000" spans="2:6" ht="15.75" customHeight="1">
      <c r="B1000" s="5"/>
      <c r="C1000" s="5"/>
      <c r="D1000" s="5"/>
      <c r="E1000" s="5"/>
      <c r="F1000" s="5"/>
    </row>
    <row r="1001" spans="2:6" ht="15.75" customHeight="1">
      <c r="B1001" s="5"/>
      <c r="C1001" s="5"/>
      <c r="D1001" s="5"/>
      <c r="E1001" s="5"/>
      <c r="F1001" s="5"/>
    </row>
    <row r="1002" spans="2:6" ht="15.75" customHeight="1">
      <c r="B1002" s="5"/>
      <c r="C1002" s="5"/>
      <c r="D1002" s="5"/>
      <c r="E1002" s="5"/>
      <c r="F1002" s="5"/>
    </row>
  </sheetData>
  <conditionalFormatting sqref="E6:E12">
    <cfRule type="cellIs" dxfId="13" priority="1" operator="greaterThanOrEqual">
      <formula>0</formula>
    </cfRule>
  </conditionalFormatting>
  <conditionalFormatting sqref="E6:E12">
    <cfRule type="cellIs" dxfId="12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Z1002"/>
  <sheetViews>
    <sheetView workbookViewId="0">
      <selection activeCell="Y21" sqref="Y21"/>
    </sheetView>
  </sheetViews>
  <sheetFormatPr baseColWidth="10" defaultColWidth="11.1640625" defaultRowHeight="15" customHeight="1"/>
  <cols>
    <col min="1" max="1" width="11.83203125" customWidth="1"/>
    <col min="2" max="2" width="8.33203125" customWidth="1"/>
    <col min="3" max="3" width="9.83203125" bestFit="1" customWidth="1"/>
    <col min="4" max="4" width="7.1640625" customWidth="1"/>
    <col min="5" max="5" width="10.5" customWidth="1"/>
    <col min="6" max="6" width="8.1640625" bestFit="1" customWidth="1"/>
    <col min="7" max="7" width="5.1640625" customWidth="1"/>
    <col min="8" max="8" width="4.33203125" customWidth="1"/>
    <col min="9" max="9" width="4.1640625" customWidth="1"/>
    <col min="10" max="10" width="5.33203125" customWidth="1"/>
    <col min="11" max="11" width="6.1640625" customWidth="1"/>
    <col min="12" max="13" width="10.5" customWidth="1"/>
    <col min="14" max="14" width="12.1640625" customWidth="1"/>
    <col min="15" max="26" width="10.5" customWidth="1"/>
  </cols>
  <sheetData>
    <row r="1" spans="1:26" ht="15.75" customHeight="1">
      <c r="A1" s="2" t="s">
        <v>1</v>
      </c>
      <c r="B1" s="4" t="s">
        <v>3</v>
      </c>
      <c r="C1" s="5"/>
      <c r="D1" s="5"/>
      <c r="E1" s="5"/>
      <c r="F1" s="5"/>
    </row>
    <row r="2" spans="1:26" ht="15.75" customHeight="1">
      <c r="A2" s="2" t="s">
        <v>6</v>
      </c>
      <c r="B2" s="4" t="s">
        <v>8</v>
      </c>
      <c r="C2" s="4" t="s">
        <v>9</v>
      </c>
      <c r="D2" s="5"/>
      <c r="E2" s="5"/>
      <c r="F2" s="5"/>
    </row>
    <row r="3" spans="1:26" ht="15.75" customHeight="1">
      <c r="A3" s="2" t="s">
        <v>10</v>
      </c>
      <c r="B3" s="9">
        <v>0.63541666666666663</v>
      </c>
      <c r="C3" s="10">
        <v>43661</v>
      </c>
      <c r="D3" s="5"/>
      <c r="E3" s="5"/>
      <c r="F3" s="5"/>
    </row>
    <row r="4" spans="1:26" ht="15.75" customHeight="1">
      <c r="B4" s="5"/>
      <c r="C4" s="5"/>
      <c r="D4" s="5"/>
      <c r="E4" s="5"/>
      <c r="G4" s="4" t="s">
        <v>15</v>
      </c>
    </row>
    <row r="5" spans="1:26" ht="15.75" customHeight="1">
      <c r="A5" s="12" t="s">
        <v>18</v>
      </c>
      <c r="B5" s="12" t="s">
        <v>19</v>
      </c>
      <c r="C5" s="12" t="s">
        <v>20</v>
      </c>
      <c r="D5" s="12" t="s">
        <v>21</v>
      </c>
      <c r="E5" s="4" t="s">
        <v>22</v>
      </c>
      <c r="G5" s="4" t="s">
        <v>23</v>
      </c>
      <c r="H5" s="14" t="s">
        <v>24</v>
      </c>
      <c r="I5" s="12" t="s">
        <v>25</v>
      </c>
      <c r="J5" s="12" t="s">
        <v>26</v>
      </c>
      <c r="K5" s="12" t="s">
        <v>27</v>
      </c>
      <c r="L5" s="12"/>
      <c r="N5" s="16" t="s">
        <v>28</v>
      </c>
      <c r="V5" s="59" t="s">
        <v>89</v>
      </c>
      <c r="W5" s="59" t="s">
        <v>90</v>
      </c>
      <c r="X5" s="59" t="s">
        <v>91</v>
      </c>
      <c r="Y5" s="59" t="s">
        <v>92</v>
      </c>
    </row>
    <row r="6" spans="1:26" ht="15.75" customHeight="1">
      <c r="A6" s="13">
        <v>1</v>
      </c>
      <c r="B6" s="17">
        <v>3.96</v>
      </c>
      <c r="C6" s="17">
        <v>242</v>
      </c>
      <c r="D6" s="18">
        <f t="shared" ref="D6:D8" si="0">AVERAGE(G6:K6)</f>
        <v>235</v>
      </c>
      <c r="E6" s="20">
        <f t="shared" ref="E6:E8" si="1">IF(ABS(D6-C6)&gt;180,360-ABS(D6-C6),D6-C6)</f>
        <v>-7</v>
      </c>
      <c r="G6" s="13"/>
      <c r="H6" s="21">
        <v>234</v>
      </c>
      <c r="I6" s="13"/>
      <c r="J6" s="13">
        <f>244-8</f>
        <v>236</v>
      </c>
      <c r="K6" s="13"/>
      <c r="L6" s="13"/>
      <c r="N6" s="15" t="s">
        <v>29</v>
      </c>
      <c r="O6" s="22"/>
      <c r="P6" s="22"/>
      <c r="R6" s="22"/>
      <c r="V6" s="19">
        <f>IF(ISBLANK(A6),"",A6)</f>
        <v>1</v>
      </c>
      <c r="W6" s="21">
        <f>IF(V6="","",IF(ISBLANK(T6),B6,T6))</f>
        <v>3.96</v>
      </c>
      <c r="X6" s="21">
        <f>IF(V6="","",C6)</f>
        <v>242</v>
      </c>
      <c r="Y6" s="60">
        <f>IF(V6="","",D6)</f>
        <v>235</v>
      </c>
    </row>
    <row r="7" spans="1:26" ht="15.75" customHeight="1">
      <c r="A7" s="13">
        <v>2</v>
      </c>
      <c r="B7" s="17">
        <v>3.78</v>
      </c>
      <c r="C7" s="17">
        <v>185</v>
      </c>
      <c r="D7" s="18">
        <f t="shared" si="0"/>
        <v>245</v>
      </c>
      <c r="E7" s="20">
        <f t="shared" si="1"/>
        <v>60</v>
      </c>
      <c r="G7" s="13"/>
      <c r="H7" s="21">
        <v>242</v>
      </c>
      <c r="I7" s="13"/>
      <c r="J7" s="13">
        <f>256-8</f>
        <v>248</v>
      </c>
      <c r="K7" s="13"/>
      <c r="L7" s="13"/>
      <c r="N7" s="15" t="s">
        <v>30</v>
      </c>
      <c r="O7" s="23"/>
      <c r="P7" s="23"/>
      <c r="R7" s="23"/>
      <c r="V7" s="19">
        <f>IF(ISBLANK(A7),"",A7)</f>
        <v>2</v>
      </c>
      <c r="W7" s="21">
        <f t="shared" ref="W7:W12" si="2">IF(V7="","",IF(ISBLANK(T7),B7,T7))</f>
        <v>3.78</v>
      </c>
      <c r="X7" s="21">
        <f t="shared" ref="X7:X12" si="3">IF(V7="","",C7)</f>
        <v>185</v>
      </c>
      <c r="Y7" s="19">
        <f t="shared" ref="Y7:Y12" si="4">IF(V7="","",D7)</f>
        <v>245</v>
      </c>
    </row>
    <row r="8" spans="1:26" ht="15.75" customHeight="1">
      <c r="A8" s="13">
        <v>3</v>
      </c>
      <c r="B8" s="17">
        <v>6.78</v>
      </c>
      <c r="C8" s="17">
        <v>34</v>
      </c>
      <c r="D8" s="18">
        <f t="shared" si="0"/>
        <v>234</v>
      </c>
      <c r="E8" s="5">
        <f t="shared" si="1"/>
        <v>160</v>
      </c>
      <c r="G8" s="13"/>
      <c r="H8" s="21">
        <v>238</v>
      </c>
      <c r="I8" s="13"/>
      <c r="J8" s="13">
        <v>230</v>
      </c>
      <c r="K8" s="13"/>
      <c r="L8" s="13"/>
      <c r="N8" s="15" t="s">
        <v>31</v>
      </c>
      <c r="O8" s="23"/>
      <c r="P8" s="23"/>
      <c r="R8" s="23"/>
      <c r="V8" s="19">
        <f>IF(ISBLANK(A8),"",A8)</f>
        <v>3</v>
      </c>
      <c r="W8" s="21">
        <f t="shared" si="2"/>
        <v>6.78</v>
      </c>
      <c r="X8" s="21">
        <f t="shared" si="3"/>
        <v>34</v>
      </c>
      <c r="Y8" s="19">
        <f t="shared" si="4"/>
        <v>234</v>
      </c>
    </row>
    <row r="9" spans="1:26" ht="15.75" customHeight="1">
      <c r="A9" s="13"/>
      <c r="B9" s="27"/>
      <c r="C9" s="28"/>
      <c r="D9" s="25"/>
      <c r="E9" s="5"/>
      <c r="G9" s="28"/>
      <c r="H9" s="21"/>
      <c r="I9" s="13"/>
      <c r="J9" s="13"/>
      <c r="K9" s="13"/>
      <c r="L9" s="13"/>
      <c r="N9" s="29"/>
      <c r="O9" s="23"/>
      <c r="P9" s="23"/>
      <c r="Q9" s="23"/>
      <c r="R9" s="23"/>
      <c r="V9" s="19" t="str">
        <f t="shared" ref="V9:V12" si="5">IF(ISBLANK(A9),"",A9)</f>
        <v/>
      </c>
      <c r="W9" s="21" t="str">
        <f t="shared" si="2"/>
        <v/>
      </c>
      <c r="X9" s="21" t="str">
        <f t="shared" si="3"/>
        <v/>
      </c>
      <c r="Y9" s="19" t="str">
        <f t="shared" si="4"/>
        <v/>
      </c>
    </row>
    <row r="10" spans="1:26" ht="15.75" customHeight="1">
      <c r="A10" s="13"/>
      <c r="B10" s="27"/>
      <c r="C10" s="28"/>
      <c r="D10" s="25"/>
      <c r="E10" s="5"/>
      <c r="G10" s="28"/>
      <c r="H10" s="21"/>
      <c r="I10" s="13"/>
      <c r="J10" s="13"/>
      <c r="K10" s="13"/>
      <c r="L10" s="13"/>
      <c r="N10" s="29"/>
      <c r="O10" s="23"/>
      <c r="P10" s="23"/>
      <c r="Q10" s="23"/>
      <c r="R10" s="23"/>
      <c r="V10" s="19" t="str">
        <f t="shared" si="5"/>
        <v/>
      </c>
      <c r="W10" s="21" t="str">
        <f t="shared" si="2"/>
        <v/>
      </c>
      <c r="X10" s="21" t="str">
        <f t="shared" si="3"/>
        <v/>
      </c>
      <c r="Y10" s="19" t="str">
        <f t="shared" si="4"/>
        <v/>
      </c>
    </row>
    <row r="11" spans="1:26" ht="15.75" customHeight="1">
      <c r="A11" s="13"/>
      <c r="B11" s="27"/>
      <c r="C11" s="28"/>
      <c r="D11" s="25"/>
      <c r="E11" s="5"/>
      <c r="G11" s="28"/>
      <c r="H11" s="21"/>
      <c r="I11" s="13"/>
      <c r="J11" s="13"/>
      <c r="K11" s="13"/>
      <c r="L11" s="13"/>
      <c r="N11" s="29"/>
      <c r="O11" s="23"/>
      <c r="P11" s="23"/>
      <c r="Q11" s="23"/>
      <c r="R11" s="23"/>
      <c r="V11" s="19" t="str">
        <f t="shared" si="5"/>
        <v/>
      </c>
      <c r="W11" s="21" t="str">
        <f t="shared" si="2"/>
        <v/>
      </c>
      <c r="X11" s="21" t="str">
        <f t="shared" si="3"/>
        <v/>
      </c>
      <c r="Y11" s="19" t="str">
        <f t="shared" si="4"/>
        <v/>
      </c>
    </row>
    <row r="12" spans="1:26" ht="15.75" customHeight="1">
      <c r="A12" s="13"/>
      <c r="B12" s="27"/>
      <c r="C12" s="28"/>
      <c r="D12" s="25"/>
      <c r="E12" s="5"/>
      <c r="G12" s="28"/>
      <c r="H12" s="21"/>
      <c r="I12" s="13"/>
      <c r="J12" s="13"/>
      <c r="K12" s="13"/>
      <c r="L12" s="13"/>
      <c r="N12" s="29"/>
      <c r="O12" s="23"/>
      <c r="P12" s="23"/>
      <c r="R12" s="23"/>
      <c r="S12" s="2"/>
      <c r="T12" s="2"/>
      <c r="U12" s="2"/>
      <c r="V12" s="19" t="str">
        <f t="shared" si="5"/>
        <v/>
      </c>
      <c r="W12" s="21" t="str">
        <f t="shared" si="2"/>
        <v/>
      </c>
      <c r="X12" s="21" t="str">
        <f t="shared" si="3"/>
        <v/>
      </c>
      <c r="Y12" s="19" t="str">
        <f t="shared" si="4"/>
        <v/>
      </c>
      <c r="Z12" s="2"/>
    </row>
    <row r="13" spans="1:26" ht="15.75" customHeight="1">
      <c r="A13" s="13"/>
      <c r="B13" s="27"/>
      <c r="C13" s="28"/>
      <c r="D13" s="25"/>
      <c r="E13" s="5"/>
      <c r="G13" s="28"/>
      <c r="H13" s="21"/>
      <c r="I13" s="13"/>
      <c r="J13" s="13"/>
      <c r="K13" s="13"/>
      <c r="L13" s="13"/>
      <c r="N13" s="29"/>
      <c r="O13" s="23"/>
      <c r="P13" s="23"/>
      <c r="R13" s="23"/>
      <c r="V13" s="19"/>
      <c r="W13" s="21"/>
      <c r="X13" s="21"/>
      <c r="Y13" s="19"/>
    </row>
    <row r="14" spans="1:26" ht="15.75" customHeight="1">
      <c r="A14" s="14" t="s">
        <v>32</v>
      </c>
      <c r="B14" s="8">
        <f>SUM(B6:B13)</f>
        <v>14.52</v>
      </c>
      <c r="C14" s="5"/>
      <c r="D14" s="5"/>
      <c r="E14" s="5"/>
      <c r="F14" s="5"/>
    </row>
    <row r="15" spans="1:26" ht="15.75" customHeight="1">
      <c r="B15" s="5"/>
      <c r="C15" s="5"/>
      <c r="D15" s="5"/>
      <c r="E15" s="5"/>
      <c r="F15" s="5"/>
    </row>
    <row r="16" spans="1:26" ht="15.75" customHeight="1">
      <c r="A16" s="2"/>
      <c r="B16" s="8"/>
      <c r="C16" s="8"/>
      <c r="D16" s="8"/>
      <c r="E16" s="8"/>
      <c r="F16" s="8"/>
      <c r="G16" s="14"/>
    </row>
    <row r="17" spans="1:25" ht="15.75" customHeight="1">
      <c r="A17" s="2" t="s">
        <v>5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23</v>
      </c>
      <c r="G17" s="14" t="s">
        <v>37</v>
      </c>
      <c r="V17" s="58" t="s">
        <v>93</v>
      </c>
      <c r="W17" s="58"/>
      <c r="X17" s="62">
        <f>C3</f>
        <v>43661</v>
      </c>
      <c r="Y17" s="63">
        <f>B3</f>
        <v>0.63541666666666663</v>
      </c>
    </row>
    <row r="18" spans="1:25" ht="15.75" customHeight="1">
      <c r="A18" s="15" t="s">
        <v>24</v>
      </c>
      <c r="B18" s="30">
        <v>5.5381944444444442E-2</v>
      </c>
      <c r="C18" s="30">
        <v>5.5381944444444442E-2</v>
      </c>
      <c r="D18" s="30">
        <f>C18-C$18</f>
        <v>0</v>
      </c>
      <c r="E18" s="31">
        <v>17.55659</v>
      </c>
      <c r="F18" s="32">
        <v>0.69079861111111107</v>
      </c>
      <c r="G18" s="33">
        <f t="shared" ref="G18:G21" si="6">RANK(E18,E$18:E$23,0)</f>
        <v>1</v>
      </c>
      <c r="J18" s="32"/>
      <c r="V18" s="58" t="s">
        <v>27</v>
      </c>
      <c r="W18" s="58" t="s">
        <v>96</v>
      </c>
      <c r="X18" s="62">
        <f>X$17</f>
        <v>43661</v>
      </c>
      <c r="Y18" s="63">
        <f>VLOOKUP(V18,A$18:F$22,6,0)</f>
        <v>0.69481481481481477</v>
      </c>
    </row>
    <row r="19" spans="1:25" ht="15.75" customHeight="1">
      <c r="A19" s="15" t="s">
        <v>38</v>
      </c>
      <c r="B19" s="30">
        <v>6.5590277777777775E-2</v>
      </c>
      <c r="C19" s="30">
        <v>5.9837962962962961E-2</v>
      </c>
      <c r="D19" s="30">
        <f t="shared" ref="D19:D21" si="7">C19-C18</f>
        <v>4.4560185185185189E-3</v>
      </c>
      <c r="E19" s="31">
        <v>15.964869999999999</v>
      </c>
      <c r="F19" s="30">
        <v>0.70100694444444445</v>
      </c>
      <c r="G19" s="33">
        <f t="shared" si="6"/>
        <v>2</v>
      </c>
      <c r="J19" s="30"/>
      <c r="V19" s="58" t="s">
        <v>38</v>
      </c>
      <c r="W19" s="58" t="s">
        <v>98</v>
      </c>
      <c r="X19" s="62">
        <f t="shared" ref="X19:X22" si="8">X$17</f>
        <v>43661</v>
      </c>
      <c r="Y19" s="63">
        <f t="shared" ref="Y19:Y22" si="9">VLOOKUP(V19,A$18:F$22,6,0)</f>
        <v>0.70100694444444445</v>
      </c>
    </row>
    <row r="20" spans="1:25" ht="15.75" customHeight="1">
      <c r="A20" s="15" t="s">
        <v>26</v>
      </c>
      <c r="B20" s="30">
        <v>6.5185185185185179E-2</v>
      </c>
      <c r="C20" s="30">
        <v>6.1828703703703705E-2</v>
      </c>
      <c r="D20" s="30">
        <f t="shared" si="7"/>
        <v>1.9907407407407443E-3</v>
      </c>
      <c r="E20" s="31">
        <v>15.24274</v>
      </c>
      <c r="F20" s="30">
        <v>0.70060185185185186</v>
      </c>
      <c r="G20" s="33">
        <f t="shared" si="6"/>
        <v>3</v>
      </c>
      <c r="J20" s="30"/>
      <c r="V20" s="58" t="s">
        <v>24</v>
      </c>
      <c r="W20" s="58" t="s">
        <v>94</v>
      </c>
      <c r="X20" s="62">
        <f t="shared" si="8"/>
        <v>43661</v>
      </c>
      <c r="Y20" s="63">
        <f t="shared" si="9"/>
        <v>0.69079861111111107</v>
      </c>
    </row>
    <row r="21" spans="1:25" ht="15.75" customHeight="1">
      <c r="A21" s="15" t="s">
        <v>27</v>
      </c>
      <c r="B21" s="30">
        <v>5.9398148148148151E-2</v>
      </c>
      <c r="C21" s="30">
        <v>6.6759259259259254E-2</v>
      </c>
      <c r="D21" s="30">
        <f t="shared" si="7"/>
        <v>4.9305555555555491E-3</v>
      </c>
      <c r="E21" s="31">
        <v>13.786709999999999</v>
      </c>
      <c r="F21" s="32">
        <v>0.69481481481481477</v>
      </c>
      <c r="G21" s="33">
        <f t="shared" si="6"/>
        <v>4</v>
      </c>
      <c r="J21" s="32"/>
      <c r="V21" s="58" t="s">
        <v>25</v>
      </c>
      <c r="W21" s="58" t="s">
        <v>95</v>
      </c>
      <c r="X21" s="62">
        <f t="shared" si="8"/>
        <v>43661</v>
      </c>
      <c r="Y21" s="63" t="str">
        <f t="shared" si="9"/>
        <v>DNF</v>
      </c>
    </row>
    <row r="22" spans="1:25" ht="15.75" customHeight="1">
      <c r="A22" s="15" t="s">
        <v>25</v>
      </c>
      <c r="B22" s="30"/>
      <c r="C22" s="13" t="s">
        <v>39</v>
      </c>
      <c r="D22" s="13"/>
      <c r="E22" s="13"/>
      <c r="F22" s="13" t="s">
        <v>39</v>
      </c>
      <c r="G22" s="34">
        <v>6</v>
      </c>
      <c r="V22" s="58" t="s">
        <v>26</v>
      </c>
      <c r="W22" s="58" t="s">
        <v>97</v>
      </c>
      <c r="X22" s="62">
        <f t="shared" si="8"/>
        <v>43661</v>
      </c>
      <c r="Y22" s="63">
        <f t="shared" si="9"/>
        <v>0.70060185185185186</v>
      </c>
    </row>
    <row r="23" spans="1:25" ht="15.75" customHeight="1">
      <c r="A23" s="15"/>
      <c r="B23" s="36"/>
      <c r="C23" s="36"/>
      <c r="D23" s="13"/>
      <c r="E23" s="36"/>
      <c r="F23" s="13"/>
      <c r="G23" s="36"/>
      <c r="H23" s="34"/>
    </row>
    <row r="24" spans="1:25" ht="15.75" customHeight="1">
      <c r="A24" s="15"/>
      <c r="B24" s="5"/>
      <c r="C24" s="5"/>
      <c r="D24" s="5"/>
      <c r="E24" s="5"/>
      <c r="F24" s="5"/>
    </row>
    <row r="25" spans="1:25" ht="15.75" customHeight="1">
      <c r="A25" s="15"/>
      <c r="B25" s="5"/>
      <c r="C25" s="5"/>
      <c r="D25" s="5"/>
      <c r="E25" s="5"/>
      <c r="F25" s="5"/>
    </row>
    <row r="26" spans="1:25" ht="15.75" customHeight="1">
      <c r="B26" s="5"/>
      <c r="C26" s="5"/>
      <c r="D26" s="5"/>
      <c r="E26" s="5"/>
      <c r="F26" s="5"/>
    </row>
    <row r="27" spans="1:25" ht="15.75" customHeight="1">
      <c r="B27" s="5"/>
      <c r="C27" s="5"/>
      <c r="D27" s="5"/>
      <c r="E27" s="5"/>
      <c r="F27" s="5"/>
    </row>
    <row r="28" spans="1:25" ht="15.75" customHeight="1">
      <c r="B28" s="5"/>
      <c r="C28" s="5"/>
      <c r="D28" s="5"/>
      <c r="E28" s="5"/>
      <c r="F28" s="5"/>
    </row>
    <row r="29" spans="1:25" ht="15.75" customHeight="1">
      <c r="B29" s="5"/>
      <c r="C29" s="5"/>
      <c r="D29" s="5"/>
      <c r="E29" s="5"/>
      <c r="F29" s="5"/>
    </row>
    <row r="30" spans="1:25" ht="15.75" customHeight="1">
      <c r="B30" s="5"/>
      <c r="C30" s="5"/>
      <c r="D30" s="5"/>
      <c r="E30" s="5"/>
      <c r="F30" s="5"/>
    </row>
    <row r="31" spans="1:25" ht="15.75" customHeight="1">
      <c r="B31" s="5"/>
      <c r="C31" s="5"/>
      <c r="D31" s="5"/>
      <c r="E31" s="5"/>
      <c r="F31" s="5"/>
    </row>
    <row r="32" spans="1:25" ht="15.75" customHeight="1">
      <c r="B32" s="5"/>
      <c r="C32" s="5"/>
      <c r="D32" s="5"/>
      <c r="E32" s="5"/>
      <c r="F32" s="5"/>
    </row>
    <row r="33" spans="2:6" ht="15.75" customHeight="1">
      <c r="B33" s="5"/>
      <c r="C33" s="5"/>
      <c r="D33" s="5"/>
      <c r="E33" s="5"/>
      <c r="F33" s="5"/>
    </row>
    <row r="34" spans="2:6" ht="15.75" customHeight="1">
      <c r="B34" s="5"/>
      <c r="C34" s="5"/>
      <c r="D34" s="5"/>
      <c r="E34" s="5"/>
      <c r="F34" s="5"/>
    </row>
    <row r="35" spans="2:6" ht="15.75" customHeight="1">
      <c r="B35" s="5"/>
      <c r="C35" s="5"/>
      <c r="D35" s="5"/>
      <c r="E35" s="5"/>
      <c r="F35" s="5"/>
    </row>
    <row r="36" spans="2:6" ht="15.75" customHeight="1">
      <c r="B36" s="5"/>
      <c r="C36" s="5"/>
      <c r="D36" s="5"/>
      <c r="E36" s="5"/>
      <c r="F36" s="5"/>
    </row>
    <row r="37" spans="2:6" ht="15.75" customHeight="1">
      <c r="B37" s="5"/>
      <c r="C37" s="5"/>
      <c r="D37" s="5"/>
      <c r="E37" s="5"/>
      <c r="F37" s="5"/>
    </row>
    <row r="38" spans="2:6" ht="15.75" customHeight="1">
      <c r="B38" s="5"/>
      <c r="C38" s="5"/>
      <c r="D38" s="5"/>
      <c r="E38" s="5"/>
      <c r="F38" s="5"/>
    </row>
    <row r="39" spans="2:6" ht="15.75" customHeight="1">
      <c r="B39" s="5"/>
      <c r="C39" s="5"/>
      <c r="D39" s="5"/>
      <c r="E39" s="5"/>
      <c r="F39" s="5"/>
    </row>
    <row r="40" spans="2:6" ht="15.75" customHeight="1">
      <c r="B40" s="5"/>
      <c r="C40" s="5"/>
      <c r="D40" s="5"/>
      <c r="E40" s="5"/>
      <c r="F40" s="5"/>
    </row>
    <row r="41" spans="2:6" ht="15.75" customHeight="1">
      <c r="B41" s="5"/>
      <c r="C41" s="5"/>
      <c r="D41" s="5"/>
      <c r="E41" s="5"/>
      <c r="F41" s="5"/>
    </row>
    <row r="42" spans="2:6" ht="15.75" customHeight="1">
      <c r="B42" s="5"/>
      <c r="C42" s="5"/>
      <c r="D42" s="5"/>
      <c r="E42" s="5"/>
      <c r="F42" s="5"/>
    </row>
    <row r="43" spans="2:6" ht="15.75" customHeight="1">
      <c r="B43" s="5"/>
      <c r="C43" s="5"/>
      <c r="D43" s="5"/>
      <c r="E43" s="5"/>
      <c r="F43" s="5"/>
    </row>
    <row r="44" spans="2:6" ht="15.75" customHeight="1">
      <c r="B44" s="5"/>
      <c r="C44" s="5"/>
      <c r="D44" s="5"/>
      <c r="E44" s="5"/>
      <c r="F44" s="5"/>
    </row>
    <row r="45" spans="2:6" ht="15.75" customHeight="1">
      <c r="B45" s="5"/>
      <c r="C45" s="5"/>
      <c r="D45" s="5"/>
      <c r="E45" s="5"/>
      <c r="F45" s="5"/>
    </row>
    <row r="46" spans="2:6" ht="15.75" customHeight="1">
      <c r="B46" s="5"/>
      <c r="C46" s="5"/>
      <c r="D46" s="5"/>
      <c r="E46" s="5"/>
      <c r="F46" s="5"/>
    </row>
    <row r="47" spans="2:6" ht="15.75" customHeight="1">
      <c r="B47" s="5"/>
      <c r="C47" s="5"/>
      <c r="D47" s="5"/>
      <c r="E47" s="5"/>
      <c r="F47" s="5"/>
    </row>
    <row r="48" spans="2:6" ht="15.75" customHeight="1">
      <c r="B48" s="5"/>
      <c r="C48" s="5"/>
      <c r="D48" s="5"/>
      <c r="E48" s="5"/>
      <c r="F48" s="5"/>
    </row>
    <row r="49" spans="2:6" ht="15.75" customHeight="1">
      <c r="B49" s="5"/>
      <c r="C49" s="5"/>
      <c r="D49" s="5"/>
      <c r="E49" s="5"/>
      <c r="F49" s="5"/>
    </row>
    <row r="50" spans="2:6" ht="15.75" customHeight="1">
      <c r="B50" s="5"/>
      <c r="C50" s="5"/>
      <c r="D50" s="5"/>
      <c r="E50" s="5"/>
      <c r="F50" s="5"/>
    </row>
    <row r="51" spans="2:6" ht="15.75" customHeight="1">
      <c r="B51" s="5"/>
      <c r="C51" s="5"/>
      <c r="D51" s="5"/>
      <c r="E51" s="5"/>
      <c r="F51" s="5"/>
    </row>
    <row r="52" spans="2:6" ht="15.75" customHeight="1">
      <c r="B52" s="5"/>
      <c r="C52" s="5"/>
      <c r="D52" s="5"/>
      <c r="E52" s="5"/>
      <c r="F52" s="5"/>
    </row>
    <row r="53" spans="2:6" ht="15.75" customHeight="1">
      <c r="B53" s="5"/>
      <c r="C53" s="5"/>
      <c r="D53" s="5"/>
      <c r="E53" s="5"/>
      <c r="F53" s="5"/>
    </row>
    <row r="54" spans="2:6" ht="15.75" customHeight="1">
      <c r="B54" s="5"/>
      <c r="C54" s="5"/>
      <c r="D54" s="5"/>
      <c r="E54" s="5"/>
      <c r="F54" s="5"/>
    </row>
    <row r="55" spans="2:6" ht="15.75" customHeight="1">
      <c r="B55" s="5"/>
      <c r="C55" s="5"/>
      <c r="D55" s="5"/>
      <c r="E55" s="5"/>
      <c r="F55" s="5"/>
    </row>
    <row r="56" spans="2:6" ht="15.75" customHeight="1">
      <c r="B56" s="5"/>
      <c r="C56" s="5"/>
      <c r="D56" s="5"/>
      <c r="E56" s="5"/>
      <c r="F56" s="5"/>
    </row>
    <row r="57" spans="2:6" ht="15.75" customHeight="1">
      <c r="B57" s="5"/>
      <c r="C57" s="5"/>
      <c r="D57" s="5"/>
      <c r="E57" s="5"/>
      <c r="F57" s="5"/>
    </row>
    <row r="58" spans="2:6" ht="15.75" customHeight="1">
      <c r="B58" s="5"/>
      <c r="C58" s="5"/>
      <c r="D58" s="5"/>
      <c r="E58" s="5"/>
      <c r="F58" s="5"/>
    </row>
    <row r="59" spans="2:6" ht="15.75" customHeight="1">
      <c r="B59" s="5"/>
      <c r="C59" s="5"/>
      <c r="D59" s="5"/>
      <c r="E59" s="5"/>
      <c r="F59" s="5"/>
    </row>
    <row r="60" spans="2:6" ht="15.75" customHeight="1">
      <c r="B60" s="5"/>
      <c r="C60" s="5"/>
      <c r="D60" s="5"/>
      <c r="E60" s="5"/>
      <c r="F60" s="5"/>
    </row>
    <row r="61" spans="2:6" ht="15.75" customHeight="1">
      <c r="B61" s="5"/>
      <c r="C61" s="5"/>
      <c r="D61" s="5"/>
      <c r="E61" s="5"/>
      <c r="F61" s="5"/>
    </row>
    <row r="62" spans="2:6" ht="15.75" customHeight="1">
      <c r="B62" s="5"/>
      <c r="C62" s="5"/>
      <c r="D62" s="5"/>
      <c r="E62" s="5"/>
      <c r="F62" s="5"/>
    </row>
    <row r="63" spans="2:6" ht="15.75" customHeight="1">
      <c r="B63" s="5"/>
      <c r="C63" s="5"/>
      <c r="D63" s="5"/>
      <c r="E63" s="5"/>
      <c r="F63" s="5"/>
    </row>
    <row r="64" spans="2:6" ht="15.75" customHeight="1">
      <c r="B64" s="5"/>
      <c r="C64" s="5"/>
      <c r="D64" s="5"/>
      <c r="E64" s="5"/>
      <c r="F64" s="5"/>
    </row>
    <row r="65" spans="2:6" ht="15.75" customHeight="1">
      <c r="B65" s="5"/>
      <c r="C65" s="5"/>
      <c r="D65" s="5"/>
      <c r="E65" s="5"/>
      <c r="F65" s="5"/>
    </row>
    <row r="66" spans="2:6" ht="15.75" customHeight="1">
      <c r="B66" s="5"/>
      <c r="C66" s="5"/>
      <c r="D66" s="5"/>
      <c r="E66" s="5"/>
      <c r="F66" s="5"/>
    </row>
    <row r="67" spans="2:6" ht="15.75" customHeight="1">
      <c r="B67" s="5"/>
      <c r="C67" s="5"/>
      <c r="D67" s="5"/>
      <c r="E67" s="5"/>
      <c r="F67" s="5"/>
    </row>
    <row r="68" spans="2:6" ht="15.75" customHeight="1">
      <c r="B68" s="5"/>
      <c r="C68" s="5"/>
      <c r="D68" s="5"/>
      <c r="E68" s="5"/>
      <c r="F68" s="5"/>
    </row>
    <row r="69" spans="2:6" ht="15.75" customHeight="1">
      <c r="B69" s="5"/>
      <c r="C69" s="5"/>
      <c r="D69" s="5"/>
      <c r="E69" s="5"/>
      <c r="F69" s="5"/>
    </row>
    <row r="70" spans="2:6" ht="15.75" customHeight="1">
      <c r="B70" s="5"/>
      <c r="C70" s="5"/>
      <c r="D70" s="5"/>
      <c r="E70" s="5"/>
      <c r="F70" s="5"/>
    </row>
    <row r="71" spans="2:6" ht="15.75" customHeight="1">
      <c r="B71" s="5"/>
      <c r="C71" s="5"/>
      <c r="D71" s="5"/>
      <c r="E71" s="5"/>
      <c r="F71" s="5"/>
    </row>
    <row r="72" spans="2:6" ht="15.75" customHeight="1">
      <c r="B72" s="5"/>
      <c r="C72" s="5"/>
      <c r="D72" s="5"/>
      <c r="E72" s="5"/>
      <c r="F72" s="5"/>
    </row>
    <row r="73" spans="2:6" ht="15.75" customHeight="1">
      <c r="B73" s="5"/>
      <c r="C73" s="5"/>
      <c r="D73" s="5"/>
      <c r="E73" s="5"/>
      <c r="F73" s="5"/>
    </row>
    <row r="74" spans="2:6" ht="15.75" customHeight="1">
      <c r="B74" s="5"/>
      <c r="C74" s="5"/>
      <c r="D74" s="5"/>
      <c r="E74" s="5"/>
      <c r="F74" s="5"/>
    </row>
    <row r="75" spans="2:6" ht="15.75" customHeight="1">
      <c r="B75" s="5"/>
      <c r="C75" s="5"/>
      <c r="D75" s="5"/>
      <c r="E75" s="5"/>
      <c r="F75" s="5"/>
    </row>
    <row r="76" spans="2:6" ht="15.75" customHeight="1">
      <c r="B76" s="5"/>
      <c r="C76" s="5"/>
      <c r="D76" s="5"/>
      <c r="E76" s="5"/>
      <c r="F76" s="5"/>
    </row>
    <row r="77" spans="2:6" ht="15.75" customHeight="1">
      <c r="B77" s="5"/>
      <c r="C77" s="5"/>
      <c r="D77" s="5"/>
      <c r="E77" s="5"/>
      <c r="F77" s="5"/>
    </row>
    <row r="78" spans="2:6" ht="15.75" customHeight="1">
      <c r="B78" s="5"/>
      <c r="C78" s="5"/>
      <c r="D78" s="5"/>
      <c r="E78" s="5"/>
      <c r="F78" s="5"/>
    </row>
    <row r="79" spans="2:6" ht="15.75" customHeight="1">
      <c r="B79" s="5"/>
      <c r="C79" s="5"/>
      <c r="D79" s="5"/>
      <c r="E79" s="5"/>
      <c r="F79" s="5"/>
    </row>
    <row r="80" spans="2:6" ht="15.75" customHeight="1">
      <c r="B80" s="5"/>
      <c r="C80" s="5"/>
      <c r="D80" s="5"/>
      <c r="E80" s="5"/>
      <c r="F80" s="5"/>
    </row>
    <row r="81" spans="2:6" ht="15.75" customHeight="1">
      <c r="B81" s="5"/>
      <c r="C81" s="5"/>
      <c r="D81" s="5"/>
      <c r="E81" s="5"/>
      <c r="F81" s="5"/>
    </row>
    <row r="82" spans="2:6" ht="15.75" customHeight="1">
      <c r="B82" s="5"/>
      <c r="C82" s="5"/>
      <c r="D82" s="5"/>
      <c r="E82" s="5"/>
      <c r="F82" s="5"/>
    </row>
    <row r="83" spans="2:6" ht="15.75" customHeight="1">
      <c r="B83" s="5"/>
      <c r="C83" s="5"/>
      <c r="D83" s="5"/>
      <c r="E83" s="5"/>
      <c r="F83" s="5"/>
    </row>
    <row r="84" spans="2:6" ht="15.75" customHeight="1">
      <c r="B84" s="5"/>
      <c r="C84" s="5"/>
      <c r="D84" s="5"/>
      <c r="E84" s="5"/>
      <c r="F84" s="5"/>
    </row>
    <row r="85" spans="2:6" ht="15.75" customHeight="1">
      <c r="B85" s="5"/>
      <c r="C85" s="5"/>
      <c r="D85" s="5"/>
      <c r="E85" s="5"/>
      <c r="F85" s="5"/>
    </row>
    <row r="86" spans="2:6" ht="15.75" customHeight="1">
      <c r="B86" s="5"/>
      <c r="C86" s="5"/>
      <c r="D86" s="5"/>
      <c r="E86" s="5"/>
      <c r="F86" s="5"/>
    </row>
    <row r="87" spans="2:6" ht="15.75" customHeight="1">
      <c r="B87" s="5"/>
      <c r="C87" s="5"/>
      <c r="D87" s="5"/>
      <c r="E87" s="5"/>
      <c r="F87" s="5"/>
    </row>
    <row r="88" spans="2:6" ht="15.75" customHeight="1">
      <c r="B88" s="5"/>
      <c r="C88" s="5"/>
      <c r="D88" s="5"/>
      <c r="E88" s="5"/>
      <c r="F88" s="5"/>
    </row>
    <row r="89" spans="2:6" ht="15.75" customHeight="1">
      <c r="B89" s="5"/>
      <c r="C89" s="5"/>
      <c r="D89" s="5"/>
      <c r="E89" s="5"/>
      <c r="F89" s="5"/>
    </row>
    <row r="90" spans="2:6" ht="15.75" customHeight="1">
      <c r="B90" s="5"/>
      <c r="C90" s="5"/>
      <c r="D90" s="5"/>
      <c r="E90" s="5"/>
      <c r="F90" s="5"/>
    </row>
    <row r="91" spans="2:6" ht="15.75" customHeight="1">
      <c r="B91" s="5"/>
      <c r="C91" s="5"/>
      <c r="D91" s="5"/>
      <c r="E91" s="5"/>
      <c r="F91" s="5"/>
    </row>
    <row r="92" spans="2:6" ht="15.75" customHeight="1">
      <c r="B92" s="5"/>
      <c r="C92" s="5"/>
      <c r="D92" s="5"/>
      <c r="E92" s="5"/>
      <c r="F92" s="5"/>
    </row>
    <row r="93" spans="2:6" ht="15.75" customHeight="1">
      <c r="B93" s="5"/>
      <c r="C93" s="5"/>
      <c r="D93" s="5"/>
      <c r="E93" s="5"/>
      <c r="F93" s="5"/>
    </row>
    <row r="94" spans="2:6" ht="15.75" customHeight="1">
      <c r="B94" s="5"/>
      <c r="C94" s="5"/>
      <c r="D94" s="5"/>
      <c r="E94" s="5"/>
      <c r="F94" s="5"/>
    </row>
    <row r="95" spans="2:6" ht="15.75" customHeight="1">
      <c r="B95" s="5"/>
      <c r="C95" s="5"/>
      <c r="D95" s="5"/>
      <c r="E95" s="5"/>
      <c r="F95" s="5"/>
    </row>
    <row r="96" spans="2:6" ht="15.75" customHeight="1">
      <c r="B96" s="5"/>
      <c r="C96" s="5"/>
      <c r="D96" s="5"/>
      <c r="E96" s="5"/>
      <c r="F96" s="5"/>
    </row>
    <row r="97" spans="2:6" ht="15.75" customHeight="1">
      <c r="B97" s="5"/>
      <c r="C97" s="5"/>
      <c r="D97" s="5"/>
      <c r="E97" s="5"/>
      <c r="F97" s="5"/>
    </row>
    <row r="98" spans="2:6" ht="15.75" customHeight="1">
      <c r="B98" s="5"/>
      <c r="C98" s="5"/>
      <c r="D98" s="5"/>
      <c r="E98" s="5"/>
      <c r="F98" s="5"/>
    </row>
    <row r="99" spans="2:6" ht="15.75" customHeight="1">
      <c r="B99" s="5"/>
      <c r="C99" s="5"/>
      <c r="D99" s="5"/>
      <c r="E99" s="5"/>
      <c r="F99" s="5"/>
    </row>
    <row r="100" spans="2:6" ht="15.75" customHeight="1">
      <c r="B100" s="5"/>
      <c r="C100" s="5"/>
      <c r="D100" s="5"/>
      <c r="E100" s="5"/>
      <c r="F100" s="5"/>
    </row>
    <row r="101" spans="2:6" ht="15.75" customHeight="1">
      <c r="B101" s="5"/>
      <c r="C101" s="5"/>
      <c r="D101" s="5"/>
      <c r="E101" s="5"/>
      <c r="F101" s="5"/>
    </row>
    <row r="102" spans="2:6" ht="15.75" customHeight="1">
      <c r="B102" s="5"/>
      <c r="C102" s="5"/>
      <c r="D102" s="5"/>
      <c r="E102" s="5"/>
      <c r="F102" s="5"/>
    </row>
    <row r="103" spans="2:6" ht="15.75" customHeight="1">
      <c r="B103" s="5"/>
      <c r="C103" s="5"/>
      <c r="D103" s="5"/>
      <c r="E103" s="5"/>
      <c r="F103" s="5"/>
    </row>
    <row r="104" spans="2:6" ht="15.75" customHeight="1">
      <c r="B104" s="5"/>
      <c r="C104" s="5"/>
      <c r="D104" s="5"/>
      <c r="E104" s="5"/>
      <c r="F104" s="5"/>
    </row>
    <row r="105" spans="2:6" ht="15.75" customHeight="1">
      <c r="B105" s="5"/>
      <c r="C105" s="5"/>
      <c r="D105" s="5"/>
      <c r="E105" s="5"/>
      <c r="F105" s="5"/>
    </row>
    <row r="106" spans="2:6" ht="15.75" customHeight="1">
      <c r="B106" s="5"/>
      <c r="C106" s="5"/>
      <c r="D106" s="5"/>
      <c r="E106" s="5"/>
      <c r="F106" s="5"/>
    </row>
    <row r="107" spans="2:6" ht="15.75" customHeight="1">
      <c r="B107" s="5"/>
      <c r="C107" s="5"/>
      <c r="D107" s="5"/>
      <c r="E107" s="5"/>
      <c r="F107" s="5"/>
    </row>
    <row r="108" spans="2:6" ht="15.75" customHeight="1">
      <c r="B108" s="5"/>
      <c r="C108" s="5"/>
      <c r="D108" s="5"/>
      <c r="E108" s="5"/>
      <c r="F108" s="5"/>
    </row>
    <row r="109" spans="2:6" ht="15.75" customHeight="1">
      <c r="B109" s="5"/>
      <c r="C109" s="5"/>
      <c r="D109" s="5"/>
      <c r="E109" s="5"/>
      <c r="F109" s="5"/>
    </row>
    <row r="110" spans="2:6" ht="15.75" customHeight="1">
      <c r="B110" s="5"/>
      <c r="C110" s="5"/>
      <c r="D110" s="5"/>
      <c r="E110" s="5"/>
      <c r="F110" s="5"/>
    </row>
    <row r="111" spans="2:6" ht="15.75" customHeight="1">
      <c r="B111" s="5"/>
      <c r="C111" s="5"/>
      <c r="D111" s="5"/>
      <c r="E111" s="5"/>
      <c r="F111" s="5"/>
    </row>
    <row r="112" spans="2:6" ht="15.75" customHeight="1">
      <c r="B112" s="5"/>
      <c r="C112" s="5"/>
      <c r="D112" s="5"/>
      <c r="E112" s="5"/>
      <c r="F112" s="5"/>
    </row>
    <row r="113" spans="2:6" ht="15.75" customHeight="1">
      <c r="B113" s="5"/>
      <c r="C113" s="5"/>
      <c r="D113" s="5"/>
      <c r="E113" s="5"/>
      <c r="F113" s="5"/>
    </row>
    <row r="114" spans="2:6" ht="15.75" customHeight="1">
      <c r="B114" s="5"/>
      <c r="C114" s="5"/>
      <c r="D114" s="5"/>
      <c r="E114" s="5"/>
      <c r="F114" s="5"/>
    </row>
    <row r="115" spans="2:6" ht="15.75" customHeight="1">
      <c r="B115" s="5"/>
      <c r="C115" s="5"/>
      <c r="D115" s="5"/>
      <c r="E115" s="5"/>
      <c r="F115" s="5"/>
    </row>
    <row r="116" spans="2:6" ht="15.75" customHeight="1">
      <c r="B116" s="5"/>
      <c r="C116" s="5"/>
      <c r="D116" s="5"/>
      <c r="E116" s="5"/>
      <c r="F116" s="5"/>
    </row>
    <row r="117" spans="2:6" ht="15.75" customHeight="1">
      <c r="B117" s="5"/>
      <c r="C117" s="5"/>
      <c r="D117" s="5"/>
      <c r="E117" s="5"/>
      <c r="F117" s="5"/>
    </row>
    <row r="118" spans="2:6" ht="15.75" customHeight="1">
      <c r="B118" s="5"/>
      <c r="C118" s="5"/>
      <c r="D118" s="5"/>
      <c r="E118" s="5"/>
      <c r="F118" s="5"/>
    </row>
    <row r="119" spans="2:6" ht="15.75" customHeight="1">
      <c r="B119" s="5"/>
      <c r="C119" s="5"/>
      <c r="D119" s="5"/>
      <c r="E119" s="5"/>
      <c r="F119" s="5"/>
    </row>
    <row r="120" spans="2:6" ht="15.75" customHeight="1">
      <c r="B120" s="5"/>
      <c r="C120" s="5"/>
      <c r="D120" s="5"/>
      <c r="E120" s="5"/>
      <c r="F120" s="5"/>
    </row>
    <row r="121" spans="2:6" ht="15.75" customHeight="1">
      <c r="B121" s="5"/>
      <c r="C121" s="5"/>
      <c r="D121" s="5"/>
      <c r="E121" s="5"/>
      <c r="F121" s="5"/>
    </row>
    <row r="122" spans="2:6" ht="15.75" customHeight="1">
      <c r="B122" s="5"/>
      <c r="C122" s="5"/>
      <c r="D122" s="5"/>
      <c r="E122" s="5"/>
      <c r="F122" s="5"/>
    </row>
    <row r="123" spans="2:6" ht="15.75" customHeight="1">
      <c r="B123" s="5"/>
      <c r="C123" s="5"/>
      <c r="D123" s="5"/>
      <c r="E123" s="5"/>
      <c r="F123" s="5"/>
    </row>
    <row r="124" spans="2:6" ht="15.75" customHeight="1">
      <c r="B124" s="5"/>
      <c r="C124" s="5"/>
      <c r="D124" s="5"/>
      <c r="E124" s="5"/>
      <c r="F124" s="5"/>
    </row>
    <row r="125" spans="2:6" ht="15.75" customHeight="1">
      <c r="B125" s="5"/>
      <c r="C125" s="5"/>
      <c r="D125" s="5"/>
      <c r="E125" s="5"/>
      <c r="F125" s="5"/>
    </row>
    <row r="126" spans="2:6" ht="15.75" customHeight="1">
      <c r="B126" s="5"/>
      <c r="C126" s="5"/>
      <c r="D126" s="5"/>
      <c r="E126" s="5"/>
      <c r="F126" s="5"/>
    </row>
    <row r="127" spans="2:6" ht="15.75" customHeight="1">
      <c r="B127" s="5"/>
      <c r="C127" s="5"/>
      <c r="D127" s="5"/>
      <c r="E127" s="5"/>
      <c r="F127" s="5"/>
    </row>
    <row r="128" spans="2:6" ht="15.75" customHeight="1">
      <c r="B128" s="5"/>
      <c r="C128" s="5"/>
      <c r="D128" s="5"/>
      <c r="E128" s="5"/>
      <c r="F128" s="5"/>
    </row>
    <row r="129" spans="2:6" ht="15.75" customHeight="1">
      <c r="B129" s="5"/>
      <c r="C129" s="5"/>
      <c r="D129" s="5"/>
      <c r="E129" s="5"/>
      <c r="F129" s="5"/>
    </row>
    <row r="130" spans="2:6" ht="15.75" customHeight="1">
      <c r="B130" s="5"/>
      <c r="C130" s="5"/>
      <c r="D130" s="5"/>
      <c r="E130" s="5"/>
      <c r="F130" s="5"/>
    </row>
    <row r="131" spans="2:6" ht="15.75" customHeight="1">
      <c r="B131" s="5"/>
      <c r="C131" s="5"/>
      <c r="D131" s="5"/>
      <c r="E131" s="5"/>
      <c r="F131" s="5"/>
    </row>
    <row r="132" spans="2:6" ht="15.75" customHeight="1">
      <c r="B132" s="5"/>
      <c r="C132" s="5"/>
      <c r="D132" s="5"/>
      <c r="E132" s="5"/>
      <c r="F132" s="5"/>
    </row>
    <row r="133" spans="2:6" ht="15.75" customHeight="1">
      <c r="B133" s="5"/>
      <c r="C133" s="5"/>
      <c r="D133" s="5"/>
      <c r="E133" s="5"/>
      <c r="F133" s="5"/>
    </row>
    <row r="134" spans="2:6" ht="15.75" customHeight="1">
      <c r="B134" s="5"/>
      <c r="C134" s="5"/>
      <c r="D134" s="5"/>
      <c r="E134" s="5"/>
      <c r="F134" s="5"/>
    </row>
    <row r="135" spans="2:6" ht="15.75" customHeight="1">
      <c r="B135" s="5"/>
      <c r="C135" s="5"/>
      <c r="D135" s="5"/>
      <c r="E135" s="5"/>
      <c r="F135" s="5"/>
    </row>
    <row r="136" spans="2:6" ht="15.75" customHeight="1">
      <c r="B136" s="5"/>
      <c r="C136" s="5"/>
      <c r="D136" s="5"/>
      <c r="E136" s="5"/>
      <c r="F136" s="5"/>
    </row>
    <row r="137" spans="2:6" ht="15.75" customHeight="1">
      <c r="B137" s="5"/>
      <c r="C137" s="5"/>
      <c r="D137" s="5"/>
      <c r="E137" s="5"/>
      <c r="F137" s="5"/>
    </row>
    <row r="138" spans="2:6" ht="15.75" customHeight="1">
      <c r="B138" s="5"/>
      <c r="C138" s="5"/>
      <c r="D138" s="5"/>
      <c r="E138" s="5"/>
      <c r="F138" s="5"/>
    </row>
    <row r="139" spans="2:6" ht="15.75" customHeight="1">
      <c r="B139" s="5"/>
      <c r="C139" s="5"/>
      <c r="D139" s="5"/>
      <c r="E139" s="5"/>
      <c r="F139" s="5"/>
    </row>
    <row r="140" spans="2:6" ht="15.75" customHeight="1">
      <c r="B140" s="5"/>
      <c r="C140" s="5"/>
      <c r="D140" s="5"/>
      <c r="E140" s="5"/>
      <c r="F140" s="5"/>
    </row>
    <row r="141" spans="2:6" ht="15.75" customHeight="1">
      <c r="B141" s="5"/>
      <c r="C141" s="5"/>
      <c r="D141" s="5"/>
      <c r="E141" s="5"/>
      <c r="F141" s="5"/>
    </row>
    <row r="142" spans="2:6" ht="15.75" customHeight="1">
      <c r="B142" s="5"/>
      <c r="C142" s="5"/>
      <c r="D142" s="5"/>
      <c r="E142" s="5"/>
      <c r="F142" s="5"/>
    </row>
    <row r="143" spans="2:6" ht="15.75" customHeight="1">
      <c r="B143" s="5"/>
      <c r="C143" s="5"/>
      <c r="D143" s="5"/>
      <c r="E143" s="5"/>
      <c r="F143" s="5"/>
    </row>
    <row r="144" spans="2:6" ht="15.75" customHeight="1">
      <c r="B144" s="5"/>
      <c r="C144" s="5"/>
      <c r="D144" s="5"/>
      <c r="E144" s="5"/>
      <c r="F144" s="5"/>
    </row>
    <row r="145" spans="2:6" ht="15.75" customHeight="1">
      <c r="B145" s="5"/>
      <c r="C145" s="5"/>
      <c r="D145" s="5"/>
      <c r="E145" s="5"/>
      <c r="F145" s="5"/>
    </row>
    <row r="146" spans="2:6" ht="15.75" customHeight="1">
      <c r="B146" s="5"/>
      <c r="C146" s="5"/>
      <c r="D146" s="5"/>
      <c r="E146" s="5"/>
      <c r="F146" s="5"/>
    </row>
    <row r="147" spans="2:6" ht="15.75" customHeight="1">
      <c r="B147" s="5"/>
      <c r="C147" s="5"/>
      <c r="D147" s="5"/>
      <c r="E147" s="5"/>
      <c r="F147" s="5"/>
    </row>
    <row r="148" spans="2:6" ht="15.75" customHeight="1">
      <c r="B148" s="5"/>
      <c r="C148" s="5"/>
      <c r="D148" s="5"/>
      <c r="E148" s="5"/>
      <c r="F148" s="5"/>
    </row>
    <row r="149" spans="2:6" ht="15.75" customHeight="1">
      <c r="B149" s="5"/>
      <c r="C149" s="5"/>
      <c r="D149" s="5"/>
      <c r="E149" s="5"/>
      <c r="F149" s="5"/>
    </row>
    <row r="150" spans="2:6" ht="15.75" customHeight="1">
      <c r="B150" s="5"/>
      <c r="C150" s="5"/>
      <c r="D150" s="5"/>
      <c r="E150" s="5"/>
      <c r="F150" s="5"/>
    </row>
    <row r="151" spans="2:6" ht="15.75" customHeight="1">
      <c r="B151" s="5"/>
      <c r="C151" s="5"/>
      <c r="D151" s="5"/>
      <c r="E151" s="5"/>
      <c r="F151" s="5"/>
    </row>
    <row r="152" spans="2:6" ht="15.75" customHeight="1">
      <c r="B152" s="5"/>
      <c r="C152" s="5"/>
      <c r="D152" s="5"/>
      <c r="E152" s="5"/>
      <c r="F152" s="5"/>
    </row>
    <row r="153" spans="2:6" ht="15.75" customHeight="1">
      <c r="B153" s="5"/>
      <c r="C153" s="5"/>
      <c r="D153" s="5"/>
      <c r="E153" s="5"/>
      <c r="F153" s="5"/>
    </row>
    <row r="154" spans="2:6" ht="15.75" customHeight="1">
      <c r="B154" s="5"/>
      <c r="C154" s="5"/>
      <c r="D154" s="5"/>
      <c r="E154" s="5"/>
      <c r="F154" s="5"/>
    </row>
    <row r="155" spans="2:6" ht="15.75" customHeight="1">
      <c r="B155" s="5"/>
      <c r="C155" s="5"/>
      <c r="D155" s="5"/>
      <c r="E155" s="5"/>
      <c r="F155" s="5"/>
    </row>
    <row r="156" spans="2:6" ht="15.75" customHeight="1">
      <c r="B156" s="5"/>
      <c r="C156" s="5"/>
      <c r="D156" s="5"/>
      <c r="E156" s="5"/>
      <c r="F156" s="5"/>
    </row>
    <row r="157" spans="2:6" ht="15.75" customHeight="1">
      <c r="B157" s="5"/>
      <c r="C157" s="5"/>
      <c r="D157" s="5"/>
      <c r="E157" s="5"/>
      <c r="F157" s="5"/>
    </row>
    <row r="158" spans="2:6" ht="15.75" customHeight="1">
      <c r="B158" s="5"/>
      <c r="C158" s="5"/>
      <c r="D158" s="5"/>
      <c r="E158" s="5"/>
      <c r="F158" s="5"/>
    </row>
    <row r="159" spans="2:6" ht="15.75" customHeight="1">
      <c r="B159" s="5"/>
      <c r="C159" s="5"/>
      <c r="D159" s="5"/>
      <c r="E159" s="5"/>
      <c r="F159" s="5"/>
    </row>
    <row r="160" spans="2:6" ht="15.75" customHeight="1">
      <c r="B160" s="5"/>
      <c r="C160" s="5"/>
      <c r="D160" s="5"/>
      <c r="E160" s="5"/>
      <c r="F160" s="5"/>
    </row>
    <row r="161" spans="2:6" ht="15.75" customHeight="1">
      <c r="B161" s="5"/>
      <c r="C161" s="5"/>
      <c r="D161" s="5"/>
      <c r="E161" s="5"/>
      <c r="F161" s="5"/>
    </row>
    <row r="162" spans="2:6" ht="15.75" customHeight="1">
      <c r="B162" s="5"/>
      <c r="C162" s="5"/>
      <c r="D162" s="5"/>
      <c r="E162" s="5"/>
      <c r="F162" s="5"/>
    </row>
    <row r="163" spans="2:6" ht="15.75" customHeight="1">
      <c r="B163" s="5"/>
      <c r="C163" s="5"/>
      <c r="D163" s="5"/>
      <c r="E163" s="5"/>
      <c r="F163" s="5"/>
    </row>
    <row r="164" spans="2:6" ht="15.75" customHeight="1">
      <c r="B164" s="5"/>
      <c r="C164" s="5"/>
      <c r="D164" s="5"/>
      <c r="E164" s="5"/>
      <c r="F164" s="5"/>
    </row>
    <row r="165" spans="2:6" ht="15.75" customHeight="1">
      <c r="B165" s="5"/>
      <c r="C165" s="5"/>
      <c r="D165" s="5"/>
      <c r="E165" s="5"/>
      <c r="F165" s="5"/>
    </row>
    <row r="166" spans="2:6" ht="15.75" customHeight="1">
      <c r="B166" s="5"/>
      <c r="C166" s="5"/>
      <c r="D166" s="5"/>
      <c r="E166" s="5"/>
      <c r="F166" s="5"/>
    </row>
    <row r="167" spans="2:6" ht="15.75" customHeight="1">
      <c r="B167" s="5"/>
      <c r="C167" s="5"/>
      <c r="D167" s="5"/>
      <c r="E167" s="5"/>
      <c r="F167" s="5"/>
    </row>
    <row r="168" spans="2:6" ht="15.75" customHeight="1">
      <c r="B168" s="5"/>
      <c r="C168" s="5"/>
      <c r="D168" s="5"/>
      <c r="E168" s="5"/>
      <c r="F168" s="5"/>
    </row>
    <row r="169" spans="2:6" ht="15.75" customHeight="1">
      <c r="B169" s="5"/>
      <c r="C169" s="5"/>
      <c r="D169" s="5"/>
      <c r="E169" s="5"/>
      <c r="F169" s="5"/>
    </row>
    <row r="170" spans="2:6" ht="15.75" customHeight="1">
      <c r="B170" s="5"/>
      <c r="C170" s="5"/>
      <c r="D170" s="5"/>
      <c r="E170" s="5"/>
      <c r="F170" s="5"/>
    </row>
    <row r="171" spans="2:6" ht="15.75" customHeight="1">
      <c r="B171" s="5"/>
      <c r="C171" s="5"/>
      <c r="D171" s="5"/>
      <c r="E171" s="5"/>
      <c r="F171" s="5"/>
    </row>
    <row r="172" spans="2:6" ht="15.75" customHeight="1">
      <c r="B172" s="5"/>
      <c r="C172" s="5"/>
      <c r="D172" s="5"/>
      <c r="E172" s="5"/>
      <c r="F172" s="5"/>
    </row>
    <row r="173" spans="2:6" ht="15.75" customHeight="1">
      <c r="B173" s="5"/>
      <c r="C173" s="5"/>
      <c r="D173" s="5"/>
      <c r="E173" s="5"/>
      <c r="F173" s="5"/>
    </row>
    <row r="174" spans="2:6" ht="15.75" customHeight="1">
      <c r="B174" s="5"/>
      <c r="C174" s="5"/>
      <c r="D174" s="5"/>
      <c r="E174" s="5"/>
      <c r="F174" s="5"/>
    </row>
    <row r="175" spans="2:6" ht="15.75" customHeight="1">
      <c r="B175" s="5"/>
      <c r="C175" s="5"/>
      <c r="D175" s="5"/>
      <c r="E175" s="5"/>
      <c r="F175" s="5"/>
    </row>
    <row r="176" spans="2:6" ht="15.75" customHeight="1">
      <c r="B176" s="5"/>
      <c r="C176" s="5"/>
      <c r="D176" s="5"/>
      <c r="E176" s="5"/>
      <c r="F176" s="5"/>
    </row>
    <row r="177" spans="2:6" ht="15.75" customHeight="1">
      <c r="B177" s="5"/>
      <c r="C177" s="5"/>
      <c r="D177" s="5"/>
      <c r="E177" s="5"/>
      <c r="F177" s="5"/>
    </row>
    <row r="178" spans="2:6" ht="15.75" customHeight="1">
      <c r="B178" s="5"/>
      <c r="C178" s="5"/>
      <c r="D178" s="5"/>
      <c r="E178" s="5"/>
      <c r="F178" s="5"/>
    </row>
    <row r="179" spans="2:6" ht="15.75" customHeight="1">
      <c r="B179" s="5"/>
      <c r="C179" s="5"/>
      <c r="D179" s="5"/>
      <c r="E179" s="5"/>
      <c r="F179" s="5"/>
    </row>
    <row r="180" spans="2:6" ht="15.75" customHeight="1">
      <c r="B180" s="5"/>
      <c r="C180" s="5"/>
      <c r="D180" s="5"/>
      <c r="E180" s="5"/>
      <c r="F180" s="5"/>
    </row>
    <row r="181" spans="2:6" ht="15.75" customHeight="1">
      <c r="B181" s="5"/>
      <c r="C181" s="5"/>
      <c r="D181" s="5"/>
      <c r="E181" s="5"/>
      <c r="F181" s="5"/>
    </row>
    <row r="182" spans="2:6" ht="15.75" customHeight="1">
      <c r="B182" s="5"/>
      <c r="C182" s="5"/>
      <c r="D182" s="5"/>
      <c r="E182" s="5"/>
      <c r="F182" s="5"/>
    </row>
    <row r="183" spans="2:6" ht="15.75" customHeight="1">
      <c r="B183" s="5"/>
      <c r="C183" s="5"/>
      <c r="D183" s="5"/>
      <c r="E183" s="5"/>
      <c r="F183" s="5"/>
    </row>
    <row r="184" spans="2:6" ht="15.75" customHeight="1">
      <c r="B184" s="5"/>
      <c r="C184" s="5"/>
      <c r="D184" s="5"/>
      <c r="E184" s="5"/>
      <c r="F184" s="5"/>
    </row>
    <row r="185" spans="2:6" ht="15.75" customHeight="1">
      <c r="B185" s="5"/>
      <c r="C185" s="5"/>
      <c r="D185" s="5"/>
      <c r="E185" s="5"/>
      <c r="F185" s="5"/>
    </row>
    <row r="186" spans="2:6" ht="15.75" customHeight="1">
      <c r="B186" s="5"/>
      <c r="C186" s="5"/>
      <c r="D186" s="5"/>
      <c r="E186" s="5"/>
      <c r="F186" s="5"/>
    </row>
    <row r="187" spans="2:6" ht="15.75" customHeight="1">
      <c r="B187" s="5"/>
      <c r="C187" s="5"/>
      <c r="D187" s="5"/>
      <c r="E187" s="5"/>
      <c r="F187" s="5"/>
    </row>
    <row r="188" spans="2:6" ht="15.75" customHeight="1">
      <c r="B188" s="5"/>
      <c r="C188" s="5"/>
      <c r="D188" s="5"/>
      <c r="E188" s="5"/>
      <c r="F188" s="5"/>
    </row>
    <row r="189" spans="2:6" ht="15.75" customHeight="1">
      <c r="B189" s="5"/>
      <c r="C189" s="5"/>
      <c r="D189" s="5"/>
      <c r="E189" s="5"/>
      <c r="F189" s="5"/>
    </row>
    <row r="190" spans="2:6" ht="15.75" customHeight="1">
      <c r="B190" s="5"/>
      <c r="C190" s="5"/>
      <c r="D190" s="5"/>
      <c r="E190" s="5"/>
      <c r="F190" s="5"/>
    </row>
    <row r="191" spans="2:6" ht="15.75" customHeight="1">
      <c r="B191" s="5"/>
      <c r="C191" s="5"/>
      <c r="D191" s="5"/>
      <c r="E191" s="5"/>
      <c r="F191" s="5"/>
    </row>
    <row r="192" spans="2:6" ht="15.75" customHeight="1">
      <c r="B192" s="5"/>
      <c r="C192" s="5"/>
      <c r="D192" s="5"/>
      <c r="E192" s="5"/>
      <c r="F192" s="5"/>
    </row>
    <row r="193" spans="2:6" ht="15.75" customHeight="1">
      <c r="B193" s="5"/>
      <c r="C193" s="5"/>
      <c r="D193" s="5"/>
      <c r="E193" s="5"/>
      <c r="F193" s="5"/>
    </row>
    <row r="194" spans="2:6" ht="15.75" customHeight="1">
      <c r="B194" s="5"/>
      <c r="C194" s="5"/>
      <c r="D194" s="5"/>
      <c r="E194" s="5"/>
      <c r="F194" s="5"/>
    </row>
    <row r="195" spans="2:6" ht="15.75" customHeight="1">
      <c r="B195" s="5"/>
      <c r="C195" s="5"/>
      <c r="D195" s="5"/>
      <c r="E195" s="5"/>
      <c r="F195" s="5"/>
    </row>
    <row r="196" spans="2:6" ht="15.75" customHeight="1">
      <c r="B196" s="5"/>
      <c r="C196" s="5"/>
      <c r="D196" s="5"/>
      <c r="E196" s="5"/>
      <c r="F196" s="5"/>
    </row>
    <row r="197" spans="2:6" ht="15.75" customHeight="1">
      <c r="B197" s="5"/>
      <c r="C197" s="5"/>
      <c r="D197" s="5"/>
      <c r="E197" s="5"/>
      <c r="F197" s="5"/>
    </row>
    <row r="198" spans="2:6" ht="15.75" customHeight="1">
      <c r="B198" s="5"/>
      <c r="C198" s="5"/>
      <c r="D198" s="5"/>
      <c r="E198" s="5"/>
      <c r="F198" s="5"/>
    </row>
    <row r="199" spans="2:6" ht="15.75" customHeight="1">
      <c r="B199" s="5"/>
      <c r="C199" s="5"/>
      <c r="D199" s="5"/>
      <c r="E199" s="5"/>
      <c r="F199" s="5"/>
    </row>
    <row r="200" spans="2:6" ht="15.75" customHeight="1">
      <c r="B200" s="5"/>
      <c r="C200" s="5"/>
      <c r="D200" s="5"/>
      <c r="E200" s="5"/>
      <c r="F200" s="5"/>
    </row>
    <row r="201" spans="2:6" ht="15.75" customHeight="1">
      <c r="B201" s="5"/>
      <c r="C201" s="5"/>
      <c r="D201" s="5"/>
      <c r="E201" s="5"/>
      <c r="F201" s="5"/>
    </row>
    <row r="202" spans="2:6" ht="15.75" customHeight="1">
      <c r="B202" s="5"/>
      <c r="C202" s="5"/>
      <c r="D202" s="5"/>
      <c r="E202" s="5"/>
      <c r="F202" s="5"/>
    </row>
    <row r="203" spans="2:6" ht="15.75" customHeight="1">
      <c r="B203" s="5"/>
      <c r="C203" s="5"/>
      <c r="D203" s="5"/>
      <c r="E203" s="5"/>
      <c r="F203" s="5"/>
    </row>
    <row r="204" spans="2:6" ht="15.75" customHeight="1">
      <c r="B204" s="5"/>
      <c r="C204" s="5"/>
      <c r="D204" s="5"/>
      <c r="E204" s="5"/>
      <c r="F204" s="5"/>
    </row>
    <row r="205" spans="2:6" ht="15.75" customHeight="1">
      <c r="B205" s="5"/>
      <c r="C205" s="5"/>
      <c r="D205" s="5"/>
      <c r="E205" s="5"/>
      <c r="F205" s="5"/>
    </row>
    <row r="206" spans="2:6" ht="15.75" customHeight="1">
      <c r="B206" s="5"/>
      <c r="C206" s="5"/>
      <c r="D206" s="5"/>
      <c r="E206" s="5"/>
      <c r="F206" s="5"/>
    </row>
    <row r="207" spans="2:6" ht="15.75" customHeight="1">
      <c r="B207" s="5"/>
      <c r="C207" s="5"/>
      <c r="D207" s="5"/>
      <c r="E207" s="5"/>
      <c r="F207" s="5"/>
    </row>
    <row r="208" spans="2:6" ht="15.75" customHeight="1">
      <c r="B208" s="5"/>
      <c r="C208" s="5"/>
      <c r="D208" s="5"/>
      <c r="E208" s="5"/>
      <c r="F208" s="5"/>
    </row>
    <row r="209" spans="2:6" ht="15.75" customHeight="1">
      <c r="B209" s="5"/>
      <c r="C209" s="5"/>
      <c r="D209" s="5"/>
      <c r="E209" s="5"/>
      <c r="F209" s="5"/>
    </row>
    <row r="210" spans="2:6" ht="15.75" customHeight="1">
      <c r="B210" s="5"/>
      <c r="C210" s="5"/>
      <c r="D210" s="5"/>
      <c r="E210" s="5"/>
      <c r="F210" s="5"/>
    </row>
    <row r="211" spans="2:6" ht="15.75" customHeight="1">
      <c r="B211" s="5"/>
      <c r="C211" s="5"/>
      <c r="D211" s="5"/>
      <c r="E211" s="5"/>
      <c r="F211" s="5"/>
    </row>
    <row r="212" spans="2:6" ht="15.75" customHeight="1">
      <c r="B212" s="5"/>
      <c r="C212" s="5"/>
      <c r="D212" s="5"/>
      <c r="E212" s="5"/>
      <c r="F212" s="5"/>
    </row>
    <row r="213" spans="2:6" ht="15.75" customHeight="1">
      <c r="B213" s="5"/>
      <c r="C213" s="5"/>
      <c r="D213" s="5"/>
      <c r="E213" s="5"/>
      <c r="F213" s="5"/>
    </row>
    <row r="214" spans="2:6" ht="15.75" customHeight="1">
      <c r="B214" s="5"/>
      <c r="C214" s="5"/>
      <c r="D214" s="5"/>
      <c r="E214" s="5"/>
      <c r="F214" s="5"/>
    </row>
    <row r="215" spans="2:6" ht="15.75" customHeight="1">
      <c r="B215" s="5"/>
      <c r="C215" s="5"/>
      <c r="D215" s="5"/>
      <c r="E215" s="5"/>
      <c r="F215" s="5"/>
    </row>
    <row r="216" spans="2:6" ht="15.75" customHeight="1">
      <c r="B216" s="5"/>
      <c r="C216" s="5"/>
      <c r="D216" s="5"/>
      <c r="E216" s="5"/>
      <c r="F216" s="5"/>
    </row>
    <row r="217" spans="2:6" ht="15.75" customHeight="1">
      <c r="B217" s="5"/>
      <c r="C217" s="5"/>
      <c r="D217" s="5"/>
      <c r="E217" s="5"/>
      <c r="F217" s="5"/>
    </row>
    <row r="218" spans="2:6" ht="15.75" customHeight="1">
      <c r="B218" s="5"/>
      <c r="C218" s="5"/>
      <c r="D218" s="5"/>
      <c r="E218" s="5"/>
      <c r="F218" s="5"/>
    </row>
    <row r="219" spans="2:6" ht="15.75" customHeight="1">
      <c r="B219" s="5"/>
      <c r="C219" s="5"/>
      <c r="D219" s="5"/>
      <c r="E219" s="5"/>
      <c r="F219" s="5"/>
    </row>
    <row r="220" spans="2:6" ht="15.75" customHeight="1">
      <c r="B220" s="5"/>
      <c r="C220" s="5"/>
      <c r="D220" s="5"/>
      <c r="E220" s="5"/>
      <c r="F220" s="5"/>
    </row>
    <row r="221" spans="2:6" ht="15.75" customHeight="1">
      <c r="B221" s="5"/>
      <c r="C221" s="5"/>
      <c r="D221" s="5"/>
      <c r="E221" s="5"/>
      <c r="F221" s="5"/>
    </row>
    <row r="222" spans="2:6" ht="15.75" customHeight="1">
      <c r="B222" s="5"/>
      <c r="C222" s="5"/>
      <c r="D222" s="5"/>
      <c r="E222" s="5"/>
      <c r="F222" s="5"/>
    </row>
    <row r="223" spans="2:6" ht="15.75" customHeight="1">
      <c r="B223" s="5"/>
      <c r="C223" s="5"/>
      <c r="D223" s="5"/>
      <c r="E223" s="5"/>
      <c r="F223" s="5"/>
    </row>
    <row r="224" spans="2:6" ht="15.75" customHeight="1">
      <c r="B224" s="5"/>
      <c r="C224" s="5"/>
      <c r="D224" s="5"/>
      <c r="E224" s="5"/>
      <c r="F224" s="5"/>
    </row>
    <row r="225" spans="2:6" ht="15.75" customHeight="1">
      <c r="B225" s="5"/>
      <c r="C225" s="5"/>
      <c r="D225" s="5"/>
      <c r="E225" s="5"/>
      <c r="F225" s="5"/>
    </row>
    <row r="226" spans="2:6" ht="15.75" customHeight="1">
      <c r="B226" s="5"/>
      <c r="C226" s="5"/>
      <c r="D226" s="5"/>
      <c r="E226" s="5"/>
      <c r="F226" s="5"/>
    </row>
    <row r="227" spans="2:6" ht="15.75" customHeight="1">
      <c r="B227" s="5"/>
      <c r="C227" s="5"/>
      <c r="D227" s="5"/>
      <c r="E227" s="5"/>
      <c r="F227" s="5"/>
    </row>
    <row r="228" spans="2:6" ht="15.75" customHeight="1">
      <c r="B228" s="5"/>
      <c r="C228" s="5"/>
      <c r="D228" s="5"/>
      <c r="E228" s="5"/>
      <c r="F228" s="5"/>
    </row>
    <row r="229" spans="2:6" ht="15.75" customHeight="1">
      <c r="B229" s="5"/>
      <c r="C229" s="5"/>
      <c r="D229" s="5"/>
      <c r="E229" s="5"/>
      <c r="F229" s="5"/>
    </row>
    <row r="230" spans="2:6" ht="15.75" customHeight="1">
      <c r="B230" s="5"/>
      <c r="C230" s="5"/>
      <c r="D230" s="5"/>
      <c r="E230" s="5"/>
      <c r="F230" s="5"/>
    </row>
    <row r="231" spans="2:6" ht="15.75" customHeight="1">
      <c r="B231" s="5"/>
      <c r="C231" s="5"/>
      <c r="D231" s="5"/>
      <c r="E231" s="5"/>
      <c r="F231" s="5"/>
    </row>
    <row r="232" spans="2:6" ht="15.75" customHeight="1">
      <c r="B232" s="5"/>
      <c r="C232" s="5"/>
      <c r="D232" s="5"/>
      <c r="E232" s="5"/>
      <c r="F232" s="5"/>
    </row>
    <row r="233" spans="2:6" ht="15.75" customHeight="1">
      <c r="B233" s="5"/>
      <c r="C233" s="5"/>
      <c r="D233" s="5"/>
      <c r="E233" s="5"/>
      <c r="F233" s="5"/>
    </row>
    <row r="234" spans="2:6" ht="15.75" customHeight="1">
      <c r="B234" s="5"/>
      <c r="C234" s="5"/>
      <c r="D234" s="5"/>
      <c r="E234" s="5"/>
      <c r="F234" s="5"/>
    </row>
    <row r="235" spans="2:6" ht="15.75" customHeight="1">
      <c r="B235" s="5"/>
      <c r="C235" s="5"/>
      <c r="D235" s="5"/>
      <c r="E235" s="5"/>
      <c r="F235" s="5"/>
    </row>
    <row r="236" spans="2:6" ht="15.75" customHeight="1">
      <c r="B236" s="5"/>
      <c r="C236" s="5"/>
      <c r="D236" s="5"/>
      <c r="E236" s="5"/>
      <c r="F236" s="5"/>
    </row>
    <row r="237" spans="2:6" ht="15.75" customHeight="1">
      <c r="B237" s="5"/>
      <c r="C237" s="5"/>
      <c r="D237" s="5"/>
      <c r="E237" s="5"/>
      <c r="F237" s="5"/>
    </row>
    <row r="238" spans="2:6" ht="15.75" customHeight="1">
      <c r="B238" s="5"/>
      <c r="C238" s="5"/>
      <c r="D238" s="5"/>
      <c r="E238" s="5"/>
      <c r="F238" s="5"/>
    </row>
    <row r="239" spans="2:6" ht="15.75" customHeight="1">
      <c r="B239" s="5"/>
      <c r="C239" s="5"/>
      <c r="D239" s="5"/>
      <c r="E239" s="5"/>
      <c r="F239" s="5"/>
    </row>
    <row r="240" spans="2:6" ht="15.75" customHeight="1">
      <c r="B240" s="5"/>
      <c r="C240" s="5"/>
      <c r="D240" s="5"/>
      <c r="E240" s="5"/>
      <c r="F240" s="5"/>
    </row>
    <row r="241" spans="2:6" ht="15.75" customHeight="1">
      <c r="B241" s="5"/>
      <c r="C241" s="5"/>
      <c r="D241" s="5"/>
      <c r="E241" s="5"/>
      <c r="F241" s="5"/>
    </row>
    <row r="242" spans="2:6" ht="15.75" customHeight="1">
      <c r="B242" s="5"/>
      <c r="C242" s="5"/>
      <c r="D242" s="5"/>
      <c r="E242" s="5"/>
      <c r="F242" s="5"/>
    </row>
    <row r="243" spans="2:6" ht="15.75" customHeight="1">
      <c r="B243" s="5"/>
      <c r="C243" s="5"/>
      <c r="D243" s="5"/>
      <c r="E243" s="5"/>
      <c r="F243" s="5"/>
    </row>
    <row r="244" spans="2:6" ht="15.75" customHeight="1">
      <c r="B244" s="5"/>
      <c r="C244" s="5"/>
      <c r="D244" s="5"/>
      <c r="E244" s="5"/>
      <c r="F244" s="5"/>
    </row>
    <row r="245" spans="2:6" ht="15.75" customHeight="1">
      <c r="B245" s="5"/>
      <c r="C245" s="5"/>
      <c r="D245" s="5"/>
      <c r="E245" s="5"/>
      <c r="F245" s="5"/>
    </row>
    <row r="246" spans="2:6" ht="15.75" customHeight="1">
      <c r="B246" s="5"/>
      <c r="C246" s="5"/>
      <c r="D246" s="5"/>
      <c r="E246" s="5"/>
      <c r="F246" s="5"/>
    </row>
    <row r="247" spans="2:6" ht="15.75" customHeight="1">
      <c r="B247" s="5"/>
      <c r="C247" s="5"/>
      <c r="D247" s="5"/>
      <c r="E247" s="5"/>
      <c r="F247" s="5"/>
    </row>
    <row r="248" spans="2:6" ht="15.75" customHeight="1">
      <c r="B248" s="5"/>
      <c r="C248" s="5"/>
      <c r="D248" s="5"/>
      <c r="E248" s="5"/>
      <c r="F248" s="5"/>
    </row>
    <row r="249" spans="2:6" ht="15.75" customHeight="1">
      <c r="B249" s="5"/>
      <c r="C249" s="5"/>
      <c r="D249" s="5"/>
      <c r="E249" s="5"/>
      <c r="F249" s="5"/>
    </row>
    <row r="250" spans="2:6" ht="15.75" customHeight="1">
      <c r="B250" s="5"/>
      <c r="C250" s="5"/>
      <c r="D250" s="5"/>
      <c r="E250" s="5"/>
      <c r="F250" s="5"/>
    </row>
    <row r="251" spans="2:6" ht="15.75" customHeight="1">
      <c r="B251" s="5"/>
      <c r="C251" s="5"/>
      <c r="D251" s="5"/>
      <c r="E251" s="5"/>
      <c r="F251" s="5"/>
    </row>
    <row r="252" spans="2:6" ht="15.75" customHeight="1">
      <c r="B252" s="5"/>
      <c r="C252" s="5"/>
      <c r="D252" s="5"/>
      <c r="E252" s="5"/>
      <c r="F252" s="5"/>
    </row>
    <row r="253" spans="2:6" ht="15.75" customHeight="1">
      <c r="B253" s="5"/>
      <c r="C253" s="5"/>
      <c r="D253" s="5"/>
      <c r="E253" s="5"/>
      <c r="F253" s="5"/>
    </row>
    <row r="254" spans="2:6" ht="15.75" customHeight="1">
      <c r="B254" s="5"/>
      <c r="C254" s="5"/>
      <c r="D254" s="5"/>
      <c r="E254" s="5"/>
      <c r="F254" s="5"/>
    </row>
    <row r="255" spans="2:6" ht="15.75" customHeight="1">
      <c r="B255" s="5"/>
      <c r="C255" s="5"/>
      <c r="D255" s="5"/>
      <c r="E255" s="5"/>
      <c r="F255" s="5"/>
    </row>
    <row r="256" spans="2:6" ht="15.75" customHeight="1">
      <c r="B256" s="5"/>
      <c r="C256" s="5"/>
      <c r="D256" s="5"/>
      <c r="E256" s="5"/>
      <c r="F256" s="5"/>
    </row>
    <row r="257" spans="2:6" ht="15.75" customHeight="1">
      <c r="B257" s="5"/>
      <c r="C257" s="5"/>
      <c r="D257" s="5"/>
      <c r="E257" s="5"/>
      <c r="F257" s="5"/>
    </row>
    <row r="258" spans="2:6" ht="15.75" customHeight="1">
      <c r="B258" s="5"/>
      <c r="C258" s="5"/>
      <c r="D258" s="5"/>
      <c r="E258" s="5"/>
      <c r="F258" s="5"/>
    </row>
    <row r="259" spans="2:6" ht="15.75" customHeight="1">
      <c r="B259" s="5"/>
      <c r="C259" s="5"/>
      <c r="D259" s="5"/>
      <c r="E259" s="5"/>
      <c r="F259" s="5"/>
    </row>
    <row r="260" spans="2:6" ht="15.75" customHeight="1">
      <c r="B260" s="5"/>
      <c r="C260" s="5"/>
      <c r="D260" s="5"/>
      <c r="E260" s="5"/>
      <c r="F260" s="5"/>
    </row>
    <row r="261" spans="2:6" ht="15.75" customHeight="1">
      <c r="B261" s="5"/>
      <c r="C261" s="5"/>
      <c r="D261" s="5"/>
      <c r="E261" s="5"/>
      <c r="F261" s="5"/>
    </row>
    <row r="262" spans="2:6" ht="15.75" customHeight="1">
      <c r="B262" s="5"/>
      <c r="C262" s="5"/>
      <c r="D262" s="5"/>
      <c r="E262" s="5"/>
      <c r="F262" s="5"/>
    </row>
    <row r="263" spans="2:6" ht="15.75" customHeight="1">
      <c r="B263" s="5"/>
      <c r="C263" s="5"/>
      <c r="D263" s="5"/>
      <c r="E263" s="5"/>
      <c r="F263" s="5"/>
    </row>
    <row r="264" spans="2:6" ht="15.75" customHeight="1">
      <c r="B264" s="5"/>
      <c r="C264" s="5"/>
      <c r="D264" s="5"/>
      <c r="E264" s="5"/>
      <c r="F264" s="5"/>
    </row>
    <row r="265" spans="2:6" ht="15.75" customHeight="1">
      <c r="B265" s="5"/>
      <c r="C265" s="5"/>
      <c r="D265" s="5"/>
      <c r="E265" s="5"/>
      <c r="F265" s="5"/>
    </row>
    <row r="266" spans="2:6" ht="15.75" customHeight="1">
      <c r="B266" s="5"/>
      <c r="C266" s="5"/>
      <c r="D266" s="5"/>
      <c r="E266" s="5"/>
      <c r="F266" s="5"/>
    </row>
    <row r="267" spans="2:6" ht="15.75" customHeight="1">
      <c r="B267" s="5"/>
      <c r="C267" s="5"/>
      <c r="D267" s="5"/>
      <c r="E267" s="5"/>
      <c r="F267" s="5"/>
    </row>
    <row r="268" spans="2:6" ht="15.75" customHeight="1">
      <c r="B268" s="5"/>
      <c r="C268" s="5"/>
      <c r="D268" s="5"/>
      <c r="E268" s="5"/>
      <c r="F268" s="5"/>
    </row>
    <row r="269" spans="2:6" ht="15.75" customHeight="1">
      <c r="B269" s="5"/>
      <c r="C269" s="5"/>
      <c r="D269" s="5"/>
      <c r="E269" s="5"/>
      <c r="F269" s="5"/>
    </row>
    <row r="270" spans="2:6" ht="15.75" customHeight="1">
      <c r="B270" s="5"/>
      <c r="C270" s="5"/>
      <c r="D270" s="5"/>
      <c r="E270" s="5"/>
      <c r="F270" s="5"/>
    </row>
    <row r="271" spans="2:6" ht="15.75" customHeight="1">
      <c r="B271" s="5"/>
      <c r="C271" s="5"/>
      <c r="D271" s="5"/>
      <c r="E271" s="5"/>
      <c r="F271" s="5"/>
    </row>
    <row r="272" spans="2:6" ht="15.75" customHeight="1">
      <c r="B272" s="5"/>
      <c r="C272" s="5"/>
      <c r="D272" s="5"/>
      <c r="E272" s="5"/>
      <c r="F272" s="5"/>
    </row>
    <row r="273" spans="2:6" ht="15.75" customHeight="1">
      <c r="B273" s="5"/>
      <c r="C273" s="5"/>
      <c r="D273" s="5"/>
      <c r="E273" s="5"/>
      <c r="F273" s="5"/>
    </row>
    <row r="274" spans="2:6" ht="15.75" customHeight="1">
      <c r="B274" s="5"/>
      <c r="C274" s="5"/>
      <c r="D274" s="5"/>
      <c r="E274" s="5"/>
      <c r="F274" s="5"/>
    </row>
    <row r="275" spans="2:6" ht="15.75" customHeight="1">
      <c r="B275" s="5"/>
      <c r="C275" s="5"/>
      <c r="D275" s="5"/>
      <c r="E275" s="5"/>
      <c r="F275" s="5"/>
    </row>
    <row r="276" spans="2:6" ht="15.75" customHeight="1">
      <c r="B276" s="5"/>
      <c r="C276" s="5"/>
      <c r="D276" s="5"/>
      <c r="E276" s="5"/>
      <c r="F276" s="5"/>
    </row>
    <row r="277" spans="2:6" ht="15.75" customHeight="1">
      <c r="B277" s="5"/>
      <c r="C277" s="5"/>
      <c r="D277" s="5"/>
      <c r="E277" s="5"/>
      <c r="F277" s="5"/>
    </row>
    <row r="278" spans="2:6" ht="15.75" customHeight="1">
      <c r="B278" s="5"/>
      <c r="C278" s="5"/>
      <c r="D278" s="5"/>
      <c r="E278" s="5"/>
      <c r="F278" s="5"/>
    </row>
    <row r="279" spans="2:6" ht="15.75" customHeight="1">
      <c r="B279" s="5"/>
      <c r="C279" s="5"/>
      <c r="D279" s="5"/>
      <c r="E279" s="5"/>
      <c r="F279" s="5"/>
    </row>
    <row r="280" spans="2:6" ht="15.75" customHeight="1">
      <c r="B280" s="5"/>
      <c r="C280" s="5"/>
      <c r="D280" s="5"/>
      <c r="E280" s="5"/>
      <c r="F280" s="5"/>
    </row>
    <row r="281" spans="2:6" ht="15.75" customHeight="1">
      <c r="B281" s="5"/>
      <c r="C281" s="5"/>
      <c r="D281" s="5"/>
      <c r="E281" s="5"/>
      <c r="F281" s="5"/>
    </row>
    <row r="282" spans="2:6" ht="15.75" customHeight="1">
      <c r="B282" s="5"/>
      <c r="C282" s="5"/>
      <c r="D282" s="5"/>
      <c r="E282" s="5"/>
      <c r="F282" s="5"/>
    </row>
    <row r="283" spans="2:6" ht="15.75" customHeight="1">
      <c r="B283" s="5"/>
      <c r="C283" s="5"/>
      <c r="D283" s="5"/>
      <c r="E283" s="5"/>
      <c r="F283" s="5"/>
    </row>
    <row r="284" spans="2:6" ht="15.75" customHeight="1">
      <c r="B284" s="5"/>
      <c r="C284" s="5"/>
      <c r="D284" s="5"/>
      <c r="E284" s="5"/>
      <c r="F284" s="5"/>
    </row>
    <row r="285" spans="2:6" ht="15.75" customHeight="1">
      <c r="B285" s="5"/>
      <c r="C285" s="5"/>
      <c r="D285" s="5"/>
      <c r="E285" s="5"/>
      <c r="F285" s="5"/>
    </row>
    <row r="286" spans="2:6" ht="15.75" customHeight="1">
      <c r="B286" s="5"/>
      <c r="C286" s="5"/>
      <c r="D286" s="5"/>
      <c r="E286" s="5"/>
      <c r="F286" s="5"/>
    </row>
    <row r="287" spans="2:6" ht="15.75" customHeight="1">
      <c r="B287" s="5"/>
      <c r="C287" s="5"/>
      <c r="D287" s="5"/>
      <c r="E287" s="5"/>
      <c r="F287" s="5"/>
    </row>
    <row r="288" spans="2:6" ht="15.75" customHeight="1">
      <c r="B288" s="5"/>
      <c r="C288" s="5"/>
      <c r="D288" s="5"/>
      <c r="E288" s="5"/>
      <c r="F288" s="5"/>
    </row>
    <row r="289" spans="2:6" ht="15.75" customHeight="1">
      <c r="B289" s="5"/>
      <c r="C289" s="5"/>
      <c r="D289" s="5"/>
      <c r="E289" s="5"/>
      <c r="F289" s="5"/>
    </row>
    <row r="290" spans="2:6" ht="15.75" customHeight="1">
      <c r="B290" s="5"/>
      <c r="C290" s="5"/>
      <c r="D290" s="5"/>
      <c r="E290" s="5"/>
      <c r="F290" s="5"/>
    </row>
    <row r="291" spans="2:6" ht="15.75" customHeight="1">
      <c r="B291" s="5"/>
      <c r="C291" s="5"/>
      <c r="D291" s="5"/>
      <c r="E291" s="5"/>
      <c r="F291" s="5"/>
    </row>
    <row r="292" spans="2:6" ht="15.75" customHeight="1">
      <c r="B292" s="5"/>
      <c r="C292" s="5"/>
      <c r="D292" s="5"/>
      <c r="E292" s="5"/>
      <c r="F292" s="5"/>
    </row>
    <row r="293" spans="2:6" ht="15.75" customHeight="1">
      <c r="B293" s="5"/>
      <c r="C293" s="5"/>
      <c r="D293" s="5"/>
      <c r="E293" s="5"/>
      <c r="F293" s="5"/>
    </row>
    <row r="294" spans="2:6" ht="15.75" customHeight="1">
      <c r="B294" s="5"/>
      <c r="C294" s="5"/>
      <c r="D294" s="5"/>
      <c r="E294" s="5"/>
      <c r="F294" s="5"/>
    </row>
    <row r="295" spans="2:6" ht="15.75" customHeight="1">
      <c r="B295" s="5"/>
      <c r="C295" s="5"/>
      <c r="D295" s="5"/>
      <c r="E295" s="5"/>
      <c r="F295" s="5"/>
    </row>
    <row r="296" spans="2:6" ht="15.75" customHeight="1">
      <c r="B296" s="5"/>
      <c r="C296" s="5"/>
      <c r="D296" s="5"/>
      <c r="E296" s="5"/>
      <c r="F296" s="5"/>
    </row>
    <row r="297" spans="2:6" ht="15.75" customHeight="1">
      <c r="B297" s="5"/>
      <c r="C297" s="5"/>
      <c r="D297" s="5"/>
      <c r="E297" s="5"/>
      <c r="F297" s="5"/>
    </row>
    <row r="298" spans="2:6" ht="15.75" customHeight="1">
      <c r="B298" s="5"/>
      <c r="C298" s="5"/>
      <c r="D298" s="5"/>
      <c r="E298" s="5"/>
      <c r="F298" s="5"/>
    </row>
    <row r="299" spans="2:6" ht="15.75" customHeight="1">
      <c r="B299" s="5"/>
      <c r="C299" s="5"/>
      <c r="D299" s="5"/>
      <c r="E299" s="5"/>
      <c r="F299" s="5"/>
    </row>
    <row r="300" spans="2:6" ht="15.75" customHeight="1">
      <c r="B300" s="5"/>
      <c r="C300" s="5"/>
      <c r="D300" s="5"/>
      <c r="E300" s="5"/>
      <c r="F300" s="5"/>
    </row>
    <row r="301" spans="2:6" ht="15.75" customHeight="1">
      <c r="B301" s="5"/>
      <c r="C301" s="5"/>
      <c r="D301" s="5"/>
      <c r="E301" s="5"/>
      <c r="F301" s="5"/>
    </row>
    <row r="302" spans="2:6" ht="15.75" customHeight="1">
      <c r="B302" s="5"/>
      <c r="C302" s="5"/>
      <c r="D302" s="5"/>
      <c r="E302" s="5"/>
      <c r="F302" s="5"/>
    </row>
    <row r="303" spans="2:6" ht="15.75" customHeight="1">
      <c r="B303" s="5"/>
      <c r="C303" s="5"/>
      <c r="D303" s="5"/>
      <c r="E303" s="5"/>
      <c r="F303" s="5"/>
    </row>
    <row r="304" spans="2:6" ht="15.75" customHeight="1">
      <c r="B304" s="5"/>
      <c r="C304" s="5"/>
      <c r="D304" s="5"/>
      <c r="E304" s="5"/>
      <c r="F304" s="5"/>
    </row>
    <row r="305" spans="2:6" ht="15.75" customHeight="1">
      <c r="B305" s="5"/>
      <c r="C305" s="5"/>
      <c r="D305" s="5"/>
      <c r="E305" s="5"/>
      <c r="F305" s="5"/>
    </row>
    <row r="306" spans="2:6" ht="15.75" customHeight="1">
      <c r="B306" s="5"/>
      <c r="C306" s="5"/>
      <c r="D306" s="5"/>
      <c r="E306" s="5"/>
      <c r="F306" s="5"/>
    </row>
    <row r="307" spans="2:6" ht="15.75" customHeight="1">
      <c r="B307" s="5"/>
      <c r="C307" s="5"/>
      <c r="D307" s="5"/>
      <c r="E307" s="5"/>
      <c r="F307" s="5"/>
    </row>
    <row r="308" spans="2:6" ht="15.75" customHeight="1">
      <c r="B308" s="5"/>
      <c r="C308" s="5"/>
      <c r="D308" s="5"/>
      <c r="E308" s="5"/>
      <c r="F308" s="5"/>
    </row>
    <row r="309" spans="2:6" ht="15.75" customHeight="1">
      <c r="B309" s="5"/>
      <c r="C309" s="5"/>
      <c r="D309" s="5"/>
      <c r="E309" s="5"/>
      <c r="F309" s="5"/>
    </row>
    <row r="310" spans="2:6" ht="15.75" customHeight="1">
      <c r="B310" s="5"/>
      <c r="C310" s="5"/>
      <c r="D310" s="5"/>
      <c r="E310" s="5"/>
      <c r="F310" s="5"/>
    </row>
    <row r="311" spans="2:6" ht="15.75" customHeight="1">
      <c r="B311" s="5"/>
      <c r="C311" s="5"/>
      <c r="D311" s="5"/>
      <c r="E311" s="5"/>
      <c r="F311" s="5"/>
    </row>
    <row r="312" spans="2:6" ht="15.75" customHeight="1">
      <c r="B312" s="5"/>
      <c r="C312" s="5"/>
      <c r="D312" s="5"/>
      <c r="E312" s="5"/>
      <c r="F312" s="5"/>
    </row>
    <row r="313" spans="2:6" ht="15.75" customHeight="1">
      <c r="B313" s="5"/>
      <c r="C313" s="5"/>
      <c r="D313" s="5"/>
      <c r="E313" s="5"/>
      <c r="F313" s="5"/>
    </row>
    <row r="314" spans="2:6" ht="15.75" customHeight="1">
      <c r="B314" s="5"/>
      <c r="C314" s="5"/>
      <c r="D314" s="5"/>
      <c r="E314" s="5"/>
      <c r="F314" s="5"/>
    </row>
    <row r="315" spans="2:6" ht="15.75" customHeight="1">
      <c r="B315" s="5"/>
      <c r="C315" s="5"/>
      <c r="D315" s="5"/>
      <c r="E315" s="5"/>
      <c r="F315" s="5"/>
    </row>
    <row r="316" spans="2:6" ht="15.75" customHeight="1">
      <c r="B316" s="5"/>
      <c r="C316" s="5"/>
      <c r="D316" s="5"/>
      <c r="E316" s="5"/>
      <c r="F316" s="5"/>
    </row>
    <row r="317" spans="2:6" ht="15.75" customHeight="1">
      <c r="B317" s="5"/>
      <c r="C317" s="5"/>
      <c r="D317" s="5"/>
      <c r="E317" s="5"/>
      <c r="F317" s="5"/>
    </row>
    <row r="318" spans="2:6" ht="15.75" customHeight="1">
      <c r="B318" s="5"/>
      <c r="C318" s="5"/>
      <c r="D318" s="5"/>
      <c r="E318" s="5"/>
      <c r="F318" s="5"/>
    </row>
    <row r="319" spans="2:6" ht="15.75" customHeight="1">
      <c r="B319" s="5"/>
      <c r="C319" s="5"/>
      <c r="D319" s="5"/>
      <c r="E319" s="5"/>
      <c r="F319" s="5"/>
    </row>
    <row r="320" spans="2:6" ht="15.75" customHeight="1">
      <c r="B320" s="5"/>
      <c r="C320" s="5"/>
      <c r="D320" s="5"/>
      <c r="E320" s="5"/>
      <c r="F320" s="5"/>
    </row>
    <row r="321" spans="2:6" ht="15.75" customHeight="1">
      <c r="B321" s="5"/>
      <c r="C321" s="5"/>
      <c r="D321" s="5"/>
      <c r="E321" s="5"/>
      <c r="F321" s="5"/>
    </row>
    <row r="322" spans="2:6" ht="15.75" customHeight="1">
      <c r="B322" s="5"/>
      <c r="C322" s="5"/>
      <c r="D322" s="5"/>
      <c r="E322" s="5"/>
      <c r="F322" s="5"/>
    </row>
    <row r="323" spans="2:6" ht="15.75" customHeight="1">
      <c r="B323" s="5"/>
      <c r="C323" s="5"/>
      <c r="D323" s="5"/>
      <c r="E323" s="5"/>
      <c r="F323" s="5"/>
    </row>
    <row r="324" spans="2:6" ht="15.75" customHeight="1">
      <c r="B324" s="5"/>
      <c r="C324" s="5"/>
      <c r="D324" s="5"/>
      <c r="E324" s="5"/>
      <c r="F324" s="5"/>
    </row>
    <row r="325" spans="2:6" ht="15.75" customHeight="1">
      <c r="B325" s="5"/>
      <c r="C325" s="5"/>
      <c r="D325" s="5"/>
      <c r="E325" s="5"/>
      <c r="F325" s="5"/>
    </row>
    <row r="326" spans="2:6" ht="15.75" customHeight="1">
      <c r="B326" s="5"/>
      <c r="C326" s="5"/>
      <c r="D326" s="5"/>
      <c r="E326" s="5"/>
      <c r="F326" s="5"/>
    </row>
    <row r="327" spans="2:6" ht="15.75" customHeight="1">
      <c r="B327" s="5"/>
      <c r="C327" s="5"/>
      <c r="D327" s="5"/>
      <c r="E327" s="5"/>
      <c r="F327" s="5"/>
    </row>
    <row r="328" spans="2:6" ht="15.75" customHeight="1">
      <c r="B328" s="5"/>
      <c r="C328" s="5"/>
      <c r="D328" s="5"/>
      <c r="E328" s="5"/>
      <c r="F328" s="5"/>
    </row>
    <row r="329" spans="2:6" ht="15.75" customHeight="1">
      <c r="B329" s="5"/>
      <c r="C329" s="5"/>
      <c r="D329" s="5"/>
      <c r="E329" s="5"/>
      <c r="F329" s="5"/>
    </row>
    <row r="330" spans="2:6" ht="15.75" customHeight="1">
      <c r="B330" s="5"/>
      <c r="C330" s="5"/>
      <c r="D330" s="5"/>
      <c r="E330" s="5"/>
      <c r="F330" s="5"/>
    </row>
    <row r="331" spans="2:6" ht="15.75" customHeight="1">
      <c r="B331" s="5"/>
      <c r="C331" s="5"/>
      <c r="D331" s="5"/>
      <c r="E331" s="5"/>
      <c r="F331" s="5"/>
    </row>
    <row r="332" spans="2:6" ht="15.75" customHeight="1">
      <c r="B332" s="5"/>
      <c r="C332" s="5"/>
      <c r="D332" s="5"/>
      <c r="E332" s="5"/>
      <c r="F332" s="5"/>
    </row>
    <row r="333" spans="2:6" ht="15.75" customHeight="1">
      <c r="B333" s="5"/>
      <c r="C333" s="5"/>
      <c r="D333" s="5"/>
      <c r="E333" s="5"/>
      <c r="F333" s="5"/>
    </row>
    <row r="334" spans="2:6" ht="15.75" customHeight="1">
      <c r="B334" s="5"/>
      <c r="C334" s="5"/>
      <c r="D334" s="5"/>
      <c r="E334" s="5"/>
      <c r="F334" s="5"/>
    </row>
    <row r="335" spans="2:6" ht="15.75" customHeight="1">
      <c r="B335" s="5"/>
      <c r="C335" s="5"/>
      <c r="D335" s="5"/>
      <c r="E335" s="5"/>
      <c r="F335" s="5"/>
    </row>
    <row r="336" spans="2:6" ht="15.75" customHeight="1">
      <c r="B336" s="5"/>
      <c r="C336" s="5"/>
      <c r="D336" s="5"/>
      <c r="E336" s="5"/>
      <c r="F336" s="5"/>
    </row>
    <row r="337" spans="2:6" ht="15.75" customHeight="1">
      <c r="B337" s="5"/>
      <c r="C337" s="5"/>
      <c r="D337" s="5"/>
      <c r="E337" s="5"/>
      <c r="F337" s="5"/>
    </row>
    <row r="338" spans="2:6" ht="15.75" customHeight="1">
      <c r="B338" s="5"/>
      <c r="C338" s="5"/>
      <c r="D338" s="5"/>
      <c r="E338" s="5"/>
      <c r="F338" s="5"/>
    </row>
    <row r="339" spans="2:6" ht="15.75" customHeight="1">
      <c r="B339" s="5"/>
      <c r="C339" s="5"/>
      <c r="D339" s="5"/>
      <c r="E339" s="5"/>
      <c r="F339" s="5"/>
    </row>
    <row r="340" spans="2:6" ht="15.75" customHeight="1">
      <c r="B340" s="5"/>
      <c r="C340" s="5"/>
      <c r="D340" s="5"/>
      <c r="E340" s="5"/>
      <c r="F340" s="5"/>
    </row>
    <row r="341" spans="2:6" ht="15.75" customHeight="1">
      <c r="B341" s="5"/>
      <c r="C341" s="5"/>
      <c r="D341" s="5"/>
      <c r="E341" s="5"/>
      <c r="F341" s="5"/>
    </row>
    <row r="342" spans="2:6" ht="15.75" customHeight="1">
      <c r="B342" s="5"/>
      <c r="C342" s="5"/>
      <c r="D342" s="5"/>
      <c r="E342" s="5"/>
      <c r="F342" s="5"/>
    </row>
    <row r="343" spans="2:6" ht="15.75" customHeight="1">
      <c r="B343" s="5"/>
      <c r="C343" s="5"/>
      <c r="D343" s="5"/>
      <c r="E343" s="5"/>
      <c r="F343" s="5"/>
    </row>
    <row r="344" spans="2:6" ht="15.75" customHeight="1">
      <c r="B344" s="5"/>
      <c r="C344" s="5"/>
      <c r="D344" s="5"/>
      <c r="E344" s="5"/>
      <c r="F344" s="5"/>
    </row>
    <row r="345" spans="2:6" ht="15.75" customHeight="1">
      <c r="B345" s="5"/>
      <c r="C345" s="5"/>
      <c r="D345" s="5"/>
      <c r="E345" s="5"/>
      <c r="F345" s="5"/>
    </row>
    <row r="346" spans="2:6" ht="15.75" customHeight="1">
      <c r="B346" s="5"/>
      <c r="C346" s="5"/>
      <c r="D346" s="5"/>
      <c r="E346" s="5"/>
      <c r="F346" s="5"/>
    </row>
    <row r="347" spans="2:6" ht="15.75" customHeight="1">
      <c r="B347" s="5"/>
      <c r="C347" s="5"/>
      <c r="D347" s="5"/>
      <c r="E347" s="5"/>
      <c r="F347" s="5"/>
    </row>
    <row r="348" spans="2:6" ht="15.75" customHeight="1">
      <c r="B348" s="5"/>
      <c r="C348" s="5"/>
      <c r="D348" s="5"/>
      <c r="E348" s="5"/>
      <c r="F348" s="5"/>
    </row>
    <row r="349" spans="2:6" ht="15.75" customHeight="1">
      <c r="B349" s="5"/>
      <c r="C349" s="5"/>
      <c r="D349" s="5"/>
      <c r="E349" s="5"/>
      <c r="F349" s="5"/>
    </row>
    <row r="350" spans="2:6" ht="15.75" customHeight="1">
      <c r="B350" s="5"/>
      <c r="C350" s="5"/>
      <c r="D350" s="5"/>
      <c r="E350" s="5"/>
      <c r="F350" s="5"/>
    </row>
    <row r="351" spans="2:6" ht="15.75" customHeight="1">
      <c r="B351" s="5"/>
      <c r="C351" s="5"/>
      <c r="D351" s="5"/>
      <c r="E351" s="5"/>
      <c r="F351" s="5"/>
    </row>
    <row r="352" spans="2:6" ht="15.75" customHeight="1">
      <c r="B352" s="5"/>
      <c r="C352" s="5"/>
      <c r="D352" s="5"/>
      <c r="E352" s="5"/>
      <c r="F352" s="5"/>
    </row>
    <row r="353" spans="2:6" ht="15.75" customHeight="1">
      <c r="B353" s="5"/>
      <c r="C353" s="5"/>
      <c r="D353" s="5"/>
      <c r="E353" s="5"/>
      <c r="F353" s="5"/>
    </row>
    <row r="354" spans="2:6" ht="15.75" customHeight="1">
      <c r="B354" s="5"/>
      <c r="C354" s="5"/>
      <c r="D354" s="5"/>
      <c r="E354" s="5"/>
      <c r="F354" s="5"/>
    </row>
    <row r="355" spans="2:6" ht="15.75" customHeight="1">
      <c r="B355" s="5"/>
      <c r="C355" s="5"/>
      <c r="D355" s="5"/>
      <c r="E355" s="5"/>
      <c r="F355" s="5"/>
    </row>
    <row r="356" spans="2:6" ht="15.75" customHeight="1">
      <c r="B356" s="5"/>
      <c r="C356" s="5"/>
      <c r="D356" s="5"/>
      <c r="E356" s="5"/>
      <c r="F356" s="5"/>
    </row>
    <row r="357" spans="2:6" ht="15.75" customHeight="1">
      <c r="B357" s="5"/>
      <c r="C357" s="5"/>
      <c r="D357" s="5"/>
      <c r="E357" s="5"/>
      <c r="F357" s="5"/>
    </row>
    <row r="358" spans="2:6" ht="15.75" customHeight="1">
      <c r="B358" s="5"/>
      <c r="C358" s="5"/>
      <c r="D358" s="5"/>
      <c r="E358" s="5"/>
      <c r="F358" s="5"/>
    </row>
    <row r="359" spans="2:6" ht="15.75" customHeight="1">
      <c r="B359" s="5"/>
      <c r="C359" s="5"/>
      <c r="D359" s="5"/>
      <c r="E359" s="5"/>
      <c r="F359" s="5"/>
    </row>
    <row r="360" spans="2:6" ht="15.75" customHeight="1">
      <c r="B360" s="5"/>
      <c r="C360" s="5"/>
      <c r="D360" s="5"/>
      <c r="E360" s="5"/>
      <c r="F360" s="5"/>
    </row>
    <row r="361" spans="2:6" ht="15.75" customHeight="1">
      <c r="B361" s="5"/>
      <c r="C361" s="5"/>
      <c r="D361" s="5"/>
      <c r="E361" s="5"/>
      <c r="F361" s="5"/>
    </row>
    <row r="362" spans="2:6" ht="15.75" customHeight="1">
      <c r="B362" s="5"/>
      <c r="C362" s="5"/>
      <c r="D362" s="5"/>
      <c r="E362" s="5"/>
      <c r="F362" s="5"/>
    </row>
    <row r="363" spans="2:6" ht="15.75" customHeight="1">
      <c r="B363" s="5"/>
      <c r="C363" s="5"/>
      <c r="D363" s="5"/>
      <c r="E363" s="5"/>
      <c r="F363" s="5"/>
    </row>
    <row r="364" spans="2:6" ht="15.75" customHeight="1">
      <c r="B364" s="5"/>
      <c r="C364" s="5"/>
      <c r="D364" s="5"/>
      <c r="E364" s="5"/>
      <c r="F364" s="5"/>
    </row>
    <row r="365" spans="2:6" ht="15.75" customHeight="1">
      <c r="B365" s="5"/>
      <c r="C365" s="5"/>
      <c r="D365" s="5"/>
      <c r="E365" s="5"/>
      <c r="F365" s="5"/>
    </row>
    <row r="366" spans="2:6" ht="15.75" customHeight="1">
      <c r="B366" s="5"/>
      <c r="C366" s="5"/>
      <c r="D366" s="5"/>
      <c r="E366" s="5"/>
      <c r="F366" s="5"/>
    </row>
    <row r="367" spans="2:6" ht="15.75" customHeight="1">
      <c r="B367" s="5"/>
      <c r="C367" s="5"/>
      <c r="D367" s="5"/>
      <c r="E367" s="5"/>
      <c r="F367" s="5"/>
    </row>
    <row r="368" spans="2:6" ht="15.75" customHeight="1">
      <c r="B368" s="5"/>
      <c r="C368" s="5"/>
      <c r="D368" s="5"/>
      <c r="E368" s="5"/>
      <c r="F368" s="5"/>
    </row>
    <row r="369" spans="2:6" ht="15.75" customHeight="1">
      <c r="B369" s="5"/>
      <c r="C369" s="5"/>
      <c r="D369" s="5"/>
      <c r="E369" s="5"/>
      <c r="F369" s="5"/>
    </row>
    <row r="370" spans="2:6" ht="15.75" customHeight="1">
      <c r="B370" s="5"/>
      <c r="C370" s="5"/>
      <c r="D370" s="5"/>
      <c r="E370" s="5"/>
      <c r="F370" s="5"/>
    </row>
    <row r="371" spans="2:6" ht="15.75" customHeight="1">
      <c r="B371" s="5"/>
      <c r="C371" s="5"/>
      <c r="D371" s="5"/>
      <c r="E371" s="5"/>
      <c r="F371" s="5"/>
    </row>
    <row r="372" spans="2:6" ht="15.75" customHeight="1">
      <c r="B372" s="5"/>
      <c r="C372" s="5"/>
      <c r="D372" s="5"/>
      <c r="E372" s="5"/>
      <c r="F372" s="5"/>
    </row>
    <row r="373" spans="2:6" ht="15.75" customHeight="1">
      <c r="B373" s="5"/>
      <c r="C373" s="5"/>
      <c r="D373" s="5"/>
      <c r="E373" s="5"/>
      <c r="F373" s="5"/>
    </row>
    <row r="374" spans="2:6" ht="15.75" customHeight="1">
      <c r="B374" s="5"/>
      <c r="C374" s="5"/>
      <c r="D374" s="5"/>
      <c r="E374" s="5"/>
      <c r="F374" s="5"/>
    </row>
    <row r="375" spans="2:6" ht="15.75" customHeight="1">
      <c r="B375" s="5"/>
      <c r="C375" s="5"/>
      <c r="D375" s="5"/>
      <c r="E375" s="5"/>
      <c r="F375" s="5"/>
    </row>
    <row r="376" spans="2:6" ht="15.75" customHeight="1">
      <c r="B376" s="5"/>
      <c r="C376" s="5"/>
      <c r="D376" s="5"/>
      <c r="E376" s="5"/>
      <c r="F376" s="5"/>
    </row>
    <row r="377" spans="2:6" ht="15.75" customHeight="1">
      <c r="B377" s="5"/>
      <c r="C377" s="5"/>
      <c r="D377" s="5"/>
      <c r="E377" s="5"/>
      <c r="F377" s="5"/>
    </row>
    <row r="378" spans="2:6" ht="15.75" customHeight="1">
      <c r="B378" s="5"/>
      <c r="C378" s="5"/>
      <c r="D378" s="5"/>
      <c r="E378" s="5"/>
      <c r="F378" s="5"/>
    </row>
    <row r="379" spans="2:6" ht="15.75" customHeight="1">
      <c r="B379" s="5"/>
      <c r="C379" s="5"/>
      <c r="D379" s="5"/>
      <c r="E379" s="5"/>
      <c r="F379" s="5"/>
    </row>
    <row r="380" spans="2:6" ht="15.75" customHeight="1">
      <c r="B380" s="5"/>
      <c r="C380" s="5"/>
      <c r="D380" s="5"/>
      <c r="E380" s="5"/>
      <c r="F380" s="5"/>
    </row>
    <row r="381" spans="2:6" ht="15.75" customHeight="1">
      <c r="B381" s="5"/>
      <c r="C381" s="5"/>
      <c r="D381" s="5"/>
      <c r="E381" s="5"/>
      <c r="F381" s="5"/>
    </row>
    <row r="382" spans="2:6" ht="15.75" customHeight="1">
      <c r="B382" s="5"/>
      <c r="C382" s="5"/>
      <c r="D382" s="5"/>
      <c r="E382" s="5"/>
      <c r="F382" s="5"/>
    </row>
    <row r="383" spans="2:6" ht="15.75" customHeight="1">
      <c r="B383" s="5"/>
      <c r="C383" s="5"/>
      <c r="D383" s="5"/>
      <c r="E383" s="5"/>
      <c r="F383" s="5"/>
    </row>
    <row r="384" spans="2:6" ht="15.75" customHeight="1">
      <c r="B384" s="5"/>
      <c r="C384" s="5"/>
      <c r="D384" s="5"/>
      <c r="E384" s="5"/>
      <c r="F384" s="5"/>
    </row>
    <row r="385" spans="2:6" ht="15.75" customHeight="1">
      <c r="B385" s="5"/>
      <c r="C385" s="5"/>
      <c r="D385" s="5"/>
      <c r="E385" s="5"/>
      <c r="F385" s="5"/>
    </row>
    <row r="386" spans="2:6" ht="15.75" customHeight="1">
      <c r="B386" s="5"/>
      <c r="C386" s="5"/>
      <c r="D386" s="5"/>
      <c r="E386" s="5"/>
      <c r="F386" s="5"/>
    </row>
    <row r="387" spans="2:6" ht="15.75" customHeight="1">
      <c r="B387" s="5"/>
      <c r="C387" s="5"/>
      <c r="D387" s="5"/>
      <c r="E387" s="5"/>
      <c r="F387" s="5"/>
    </row>
    <row r="388" spans="2:6" ht="15.75" customHeight="1">
      <c r="B388" s="5"/>
      <c r="C388" s="5"/>
      <c r="D388" s="5"/>
      <c r="E388" s="5"/>
      <c r="F388" s="5"/>
    </row>
    <row r="389" spans="2:6" ht="15.75" customHeight="1">
      <c r="B389" s="5"/>
      <c r="C389" s="5"/>
      <c r="D389" s="5"/>
      <c r="E389" s="5"/>
      <c r="F389" s="5"/>
    </row>
    <row r="390" spans="2:6" ht="15.75" customHeight="1">
      <c r="B390" s="5"/>
      <c r="C390" s="5"/>
      <c r="D390" s="5"/>
      <c r="E390" s="5"/>
      <c r="F390" s="5"/>
    </row>
    <row r="391" spans="2:6" ht="15.75" customHeight="1">
      <c r="B391" s="5"/>
      <c r="C391" s="5"/>
      <c r="D391" s="5"/>
      <c r="E391" s="5"/>
      <c r="F391" s="5"/>
    </row>
    <row r="392" spans="2:6" ht="15.75" customHeight="1">
      <c r="B392" s="5"/>
      <c r="C392" s="5"/>
      <c r="D392" s="5"/>
      <c r="E392" s="5"/>
      <c r="F392" s="5"/>
    </row>
    <row r="393" spans="2:6" ht="15.75" customHeight="1">
      <c r="B393" s="5"/>
      <c r="C393" s="5"/>
      <c r="D393" s="5"/>
      <c r="E393" s="5"/>
      <c r="F393" s="5"/>
    </row>
    <row r="394" spans="2:6" ht="15.75" customHeight="1">
      <c r="B394" s="5"/>
      <c r="C394" s="5"/>
      <c r="D394" s="5"/>
      <c r="E394" s="5"/>
      <c r="F394" s="5"/>
    </row>
    <row r="395" spans="2:6" ht="15.75" customHeight="1">
      <c r="B395" s="5"/>
      <c r="C395" s="5"/>
      <c r="D395" s="5"/>
      <c r="E395" s="5"/>
      <c r="F395" s="5"/>
    </row>
    <row r="396" spans="2:6" ht="15.75" customHeight="1">
      <c r="B396" s="5"/>
      <c r="C396" s="5"/>
      <c r="D396" s="5"/>
      <c r="E396" s="5"/>
      <c r="F396" s="5"/>
    </row>
    <row r="397" spans="2:6" ht="15.75" customHeight="1">
      <c r="B397" s="5"/>
      <c r="C397" s="5"/>
      <c r="D397" s="5"/>
      <c r="E397" s="5"/>
      <c r="F397" s="5"/>
    </row>
    <row r="398" spans="2:6" ht="15.75" customHeight="1">
      <c r="B398" s="5"/>
      <c r="C398" s="5"/>
      <c r="D398" s="5"/>
      <c r="E398" s="5"/>
      <c r="F398" s="5"/>
    </row>
    <row r="399" spans="2:6" ht="15.75" customHeight="1">
      <c r="B399" s="5"/>
      <c r="C399" s="5"/>
      <c r="D399" s="5"/>
      <c r="E399" s="5"/>
      <c r="F399" s="5"/>
    </row>
    <row r="400" spans="2:6" ht="15.75" customHeight="1">
      <c r="B400" s="5"/>
      <c r="C400" s="5"/>
      <c r="D400" s="5"/>
      <c r="E400" s="5"/>
      <c r="F400" s="5"/>
    </row>
    <row r="401" spans="2:6" ht="15.75" customHeight="1">
      <c r="B401" s="5"/>
      <c r="C401" s="5"/>
      <c r="D401" s="5"/>
      <c r="E401" s="5"/>
      <c r="F401" s="5"/>
    </row>
    <row r="402" spans="2:6" ht="15.75" customHeight="1">
      <c r="B402" s="5"/>
      <c r="C402" s="5"/>
      <c r="D402" s="5"/>
      <c r="E402" s="5"/>
      <c r="F402" s="5"/>
    </row>
    <row r="403" spans="2:6" ht="15.75" customHeight="1">
      <c r="B403" s="5"/>
      <c r="C403" s="5"/>
      <c r="D403" s="5"/>
      <c r="E403" s="5"/>
      <c r="F403" s="5"/>
    </row>
    <row r="404" spans="2:6" ht="15.75" customHeight="1">
      <c r="B404" s="5"/>
      <c r="C404" s="5"/>
      <c r="D404" s="5"/>
      <c r="E404" s="5"/>
      <c r="F404" s="5"/>
    </row>
    <row r="405" spans="2:6" ht="15.75" customHeight="1">
      <c r="B405" s="5"/>
      <c r="C405" s="5"/>
      <c r="D405" s="5"/>
      <c r="E405" s="5"/>
      <c r="F405" s="5"/>
    </row>
    <row r="406" spans="2:6" ht="15.75" customHeight="1">
      <c r="B406" s="5"/>
      <c r="C406" s="5"/>
      <c r="D406" s="5"/>
      <c r="E406" s="5"/>
      <c r="F406" s="5"/>
    </row>
    <row r="407" spans="2:6" ht="15.75" customHeight="1">
      <c r="B407" s="5"/>
      <c r="C407" s="5"/>
      <c r="D407" s="5"/>
      <c r="E407" s="5"/>
      <c r="F407" s="5"/>
    </row>
    <row r="408" spans="2:6" ht="15.75" customHeight="1">
      <c r="B408" s="5"/>
      <c r="C408" s="5"/>
      <c r="D408" s="5"/>
      <c r="E408" s="5"/>
      <c r="F408" s="5"/>
    </row>
    <row r="409" spans="2:6" ht="15.75" customHeight="1">
      <c r="B409" s="5"/>
      <c r="C409" s="5"/>
      <c r="D409" s="5"/>
      <c r="E409" s="5"/>
      <c r="F409" s="5"/>
    </row>
    <row r="410" spans="2:6" ht="15.75" customHeight="1">
      <c r="B410" s="5"/>
      <c r="C410" s="5"/>
      <c r="D410" s="5"/>
      <c r="E410" s="5"/>
      <c r="F410" s="5"/>
    </row>
    <row r="411" spans="2:6" ht="15.75" customHeight="1">
      <c r="B411" s="5"/>
      <c r="C411" s="5"/>
      <c r="D411" s="5"/>
      <c r="E411" s="5"/>
      <c r="F411" s="5"/>
    </row>
    <row r="412" spans="2:6" ht="15.75" customHeight="1">
      <c r="B412" s="5"/>
      <c r="C412" s="5"/>
      <c r="D412" s="5"/>
      <c r="E412" s="5"/>
      <c r="F412" s="5"/>
    </row>
    <row r="413" spans="2:6" ht="15.75" customHeight="1">
      <c r="B413" s="5"/>
      <c r="C413" s="5"/>
      <c r="D413" s="5"/>
      <c r="E413" s="5"/>
      <c r="F413" s="5"/>
    </row>
    <row r="414" spans="2:6" ht="15.75" customHeight="1">
      <c r="B414" s="5"/>
      <c r="C414" s="5"/>
      <c r="D414" s="5"/>
      <c r="E414" s="5"/>
      <c r="F414" s="5"/>
    </row>
    <row r="415" spans="2:6" ht="15.75" customHeight="1">
      <c r="B415" s="5"/>
      <c r="C415" s="5"/>
      <c r="D415" s="5"/>
      <c r="E415" s="5"/>
      <c r="F415" s="5"/>
    </row>
    <row r="416" spans="2:6" ht="15.75" customHeight="1">
      <c r="B416" s="5"/>
      <c r="C416" s="5"/>
      <c r="D416" s="5"/>
      <c r="E416" s="5"/>
      <c r="F416" s="5"/>
    </row>
    <row r="417" spans="2:6" ht="15.75" customHeight="1">
      <c r="B417" s="5"/>
      <c r="C417" s="5"/>
      <c r="D417" s="5"/>
      <c r="E417" s="5"/>
      <c r="F417" s="5"/>
    </row>
    <row r="418" spans="2:6" ht="15.75" customHeight="1">
      <c r="B418" s="5"/>
      <c r="C418" s="5"/>
      <c r="D418" s="5"/>
      <c r="E418" s="5"/>
      <c r="F418" s="5"/>
    </row>
    <row r="419" spans="2:6" ht="15.75" customHeight="1">
      <c r="B419" s="5"/>
      <c r="C419" s="5"/>
      <c r="D419" s="5"/>
      <c r="E419" s="5"/>
      <c r="F419" s="5"/>
    </row>
    <row r="420" spans="2:6" ht="15.75" customHeight="1">
      <c r="B420" s="5"/>
      <c r="C420" s="5"/>
      <c r="D420" s="5"/>
      <c r="E420" s="5"/>
      <c r="F420" s="5"/>
    </row>
    <row r="421" spans="2:6" ht="15.75" customHeight="1">
      <c r="B421" s="5"/>
      <c r="C421" s="5"/>
      <c r="D421" s="5"/>
      <c r="E421" s="5"/>
      <c r="F421" s="5"/>
    </row>
    <row r="422" spans="2:6" ht="15.75" customHeight="1">
      <c r="B422" s="5"/>
      <c r="C422" s="5"/>
      <c r="D422" s="5"/>
      <c r="E422" s="5"/>
      <c r="F422" s="5"/>
    </row>
    <row r="423" spans="2:6" ht="15.75" customHeight="1">
      <c r="B423" s="5"/>
      <c r="C423" s="5"/>
      <c r="D423" s="5"/>
      <c r="E423" s="5"/>
      <c r="F423" s="5"/>
    </row>
    <row r="424" spans="2:6" ht="15.75" customHeight="1">
      <c r="B424" s="5"/>
      <c r="C424" s="5"/>
      <c r="D424" s="5"/>
      <c r="E424" s="5"/>
      <c r="F424" s="5"/>
    </row>
    <row r="425" spans="2:6" ht="15.75" customHeight="1">
      <c r="B425" s="5"/>
      <c r="C425" s="5"/>
      <c r="D425" s="5"/>
      <c r="E425" s="5"/>
      <c r="F425" s="5"/>
    </row>
    <row r="426" spans="2:6" ht="15.75" customHeight="1">
      <c r="B426" s="5"/>
      <c r="C426" s="5"/>
      <c r="D426" s="5"/>
      <c r="E426" s="5"/>
      <c r="F426" s="5"/>
    </row>
    <row r="427" spans="2:6" ht="15.75" customHeight="1">
      <c r="B427" s="5"/>
      <c r="C427" s="5"/>
      <c r="D427" s="5"/>
      <c r="E427" s="5"/>
      <c r="F427" s="5"/>
    </row>
    <row r="428" spans="2:6" ht="15.75" customHeight="1">
      <c r="B428" s="5"/>
      <c r="C428" s="5"/>
      <c r="D428" s="5"/>
      <c r="E428" s="5"/>
      <c r="F428" s="5"/>
    </row>
    <row r="429" spans="2:6" ht="15.75" customHeight="1">
      <c r="B429" s="5"/>
      <c r="C429" s="5"/>
      <c r="D429" s="5"/>
      <c r="E429" s="5"/>
      <c r="F429" s="5"/>
    </row>
    <row r="430" spans="2:6" ht="15.75" customHeight="1">
      <c r="B430" s="5"/>
      <c r="C430" s="5"/>
      <c r="D430" s="5"/>
      <c r="E430" s="5"/>
      <c r="F430" s="5"/>
    </row>
    <row r="431" spans="2:6" ht="15.75" customHeight="1">
      <c r="B431" s="5"/>
      <c r="C431" s="5"/>
      <c r="D431" s="5"/>
      <c r="E431" s="5"/>
      <c r="F431" s="5"/>
    </row>
    <row r="432" spans="2:6" ht="15.75" customHeight="1">
      <c r="B432" s="5"/>
      <c r="C432" s="5"/>
      <c r="D432" s="5"/>
      <c r="E432" s="5"/>
      <c r="F432" s="5"/>
    </row>
    <row r="433" spans="2:6" ht="15.75" customHeight="1">
      <c r="B433" s="5"/>
      <c r="C433" s="5"/>
      <c r="D433" s="5"/>
      <c r="E433" s="5"/>
      <c r="F433" s="5"/>
    </row>
    <row r="434" spans="2:6" ht="15.75" customHeight="1">
      <c r="B434" s="5"/>
      <c r="C434" s="5"/>
      <c r="D434" s="5"/>
      <c r="E434" s="5"/>
      <c r="F434" s="5"/>
    </row>
    <row r="435" spans="2:6" ht="15.75" customHeight="1">
      <c r="B435" s="5"/>
      <c r="C435" s="5"/>
      <c r="D435" s="5"/>
      <c r="E435" s="5"/>
      <c r="F435" s="5"/>
    </row>
    <row r="436" spans="2:6" ht="15.75" customHeight="1">
      <c r="B436" s="5"/>
      <c r="C436" s="5"/>
      <c r="D436" s="5"/>
      <c r="E436" s="5"/>
      <c r="F436" s="5"/>
    </row>
    <row r="437" spans="2:6" ht="15.75" customHeight="1">
      <c r="B437" s="5"/>
      <c r="C437" s="5"/>
      <c r="D437" s="5"/>
      <c r="E437" s="5"/>
      <c r="F437" s="5"/>
    </row>
    <row r="438" spans="2:6" ht="15.75" customHeight="1">
      <c r="B438" s="5"/>
      <c r="C438" s="5"/>
      <c r="D438" s="5"/>
      <c r="E438" s="5"/>
      <c r="F438" s="5"/>
    </row>
    <row r="439" spans="2:6" ht="15.75" customHeight="1">
      <c r="B439" s="5"/>
      <c r="C439" s="5"/>
      <c r="D439" s="5"/>
      <c r="E439" s="5"/>
      <c r="F439" s="5"/>
    </row>
    <row r="440" spans="2:6" ht="15.75" customHeight="1">
      <c r="B440" s="5"/>
      <c r="C440" s="5"/>
      <c r="D440" s="5"/>
      <c r="E440" s="5"/>
      <c r="F440" s="5"/>
    </row>
    <row r="441" spans="2:6" ht="15.75" customHeight="1">
      <c r="B441" s="5"/>
      <c r="C441" s="5"/>
      <c r="D441" s="5"/>
      <c r="E441" s="5"/>
      <c r="F441" s="5"/>
    </row>
    <row r="442" spans="2:6" ht="15.75" customHeight="1">
      <c r="B442" s="5"/>
      <c r="C442" s="5"/>
      <c r="D442" s="5"/>
      <c r="E442" s="5"/>
      <c r="F442" s="5"/>
    </row>
    <row r="443" spans="2:6" ht="15.75" customHeight="1">
      <c r="B443" s="5"/>
      <c r="C443" s="5"/>
      <c r="D443" s="5"/>
      <c r="E443" s="5"/>
      <c r="F443" s="5"/>
    </row>
    <row r="444" spans="2:6" ht="15.75" customHeight="1">
      <c r="B444" s="5"/>
      <c r="C444" s="5"/>
      <c r="D444" s="5"/>
      <c r="E444" s="5"/>
      <c r="F444" s="5"/>
    </row>
    <row r="445" spans="2:6" ht="15.75" customHeight="1">
      <c r="B445" s="5"/>
      <c r="C445" s="5"/>
      <c r="D445" s="5"/>
      <c r="E445" s="5"/>
      <c r="F445" s="5"/>
    </row>
    <row r="446" spans="2:6" ht="15.75" customHeight="1">
      <c r="B446" s="5"/>
      <c r="C446" s="5"/>
      <c r="D446" s="5"/>
      <c r="E446" s="5"/>
      <c r="F446" s="5"/>
    </row>
    <row r="447" spans="2:6" ht="15.75" customHeight="1">
      <c r="B447" s="5"/>
      <c r="C447" s="5"/>
      <c r="D447" s="5"/>
      <c r="E447" s="5"/>
      <c r="F447" s="5"/>
    </row>
    <row r="448" spans="2:6" ht="15.75" customHeight="1">
      <c r="B448" s="5"/>
      <c r="C448" s="5"/>
      <c r="D448" s="5"/>
      <c r="E448" s="5"/>
      <c r="F448" s="5"/>
    </row>
    <row r="449" spans="2:6" ht="15.75" customHeight="1">
      <c r="B449" s="5"/>
      <c r="C449" s="5"/>
      <c r="D449" s="5"/>
      <c r="E449" s="5"/>
      <c r="F449" s="5"/>
    </row>
    <row r="450" spans="2:6" ht="15.75" customHeight="1">
      <c r="B450" s="5"/>
      <c r="C450" s="5"/>
      <c r="D450" s="5"/>
      <c r="E450" s="5"/>
      <c r="F450" s="5"/>
    </row>
    <row r="451" spans="2:6" ht="15.75" customHeight="1">
      <c r="B451" s="5"/>
      <c r="C451" s="5"/>
      <c r="D451" s="5"/>
      <c r="E451" s="5"/>
      <c r="F451" s="5"/>
    </row>
    <row r="452" spans="2:6" ht="15.75" customHeight="1">
      <c r="B452" s="5"/>
      <c r="C452" s="5"/>
      <c r="D452" s="5"/>
      <c r="E452" s="5"/>
      <c r="F452" s="5"/>
    </row>
    <row r="453" spans="2:6" ht="15.75" customHeight="1">
      <c r="B453" s="5"/>
      <c r="C453" s="5"/>
      <c r="D453" s="5"/>
      <c r="E453" s="5"/>
      <c r="F453" s="5"/>
    </row>
    <row r="454" spans="2:6" ht="15.75" customHeight="1">
      <c r="B454" s="5"/>
      <c r="C454" s="5"/>
      <c r="D454" s="5"/>
      <c r="E454" s="5"/>
      <c r="F454" s="5"/>
    </row>
    <row r="455" spans="2:6" ht="15.75" customHeight="1">
      <c r="B455" s="5"/>
      <c r="C455" s="5"/>
      <c r="D455" s="5"/>
      <c r="E455" s="5"/>
      <c r="F455" s="5"/>
    </row>
    <row r="456" spans="2:6" ht="15.75" customHeight="1">
      <c r="B456" s="5"/>
      <c r="C456" s="5"/>
      <c r="D456" s="5"/>
      <c r="E456" s="5"/>
      <c r="F456" s="5"/>
    </row>
    <row r="457" spans="2:6" ht="15.75" customHeight="1">
      <c r="B457" s="5"/>
      <c r="C457" s="5"/>
      <c r="D457" s="5"/>
      <c r="E457" s="5"/>
      <c r="F457" s="5"/>
    </row>
    <row r="458" spans="2:6" ht="15.75" customHeight="1">
      <c r="B458" s="5"/>
      <c r="C458" s="5"/>
      <c r="D458" s="5"/>
      <c r="E458" s="5"/>
      <c r="F458" s="5"/>
    </row>
    <row r="459" spans="2:6" ht="15.75" customHeight="1">
      <c r="B459" s="5"/>
      <c r="C459" s="5"/>
      <c r="D459" s="5"/>
      <c r="E459" s="5"/>
      <c r="F459" s="5"/>
    </row>
    <row r="460" spans="2:6" ht="15.75" customHeight="1">
      <c r="B460" s="5"/>
      <c r="C460" s="5"/>
      <c r="D460" s="5"/>
      <c r="E460" s="5"/>
      <c r="F460" s="5"/>
    </row>
    <row r="461" spans="2:6" ht="15.75" customHeight="1">
      <c r="B461" s="5"/>
      <c r="C461" s="5"/>
      <c r="D461" s="5"/>
      <c r="E461" s="5"/>
      <c r="F461" s="5"/>
    </row>
    <row r="462" spans="2:6" ht="15.75" customHeight="1">
      <c r="B462" s="5"/>
      <c r="C462" s="5"/>
      <c r="D462" s="5"/>
      <c r="E462" s="5"/>
      <c r="F462" s="5"/>
    </row>
    <row r="463" spans="2:6" ht="15.75" customHeight="1">
      <c r="B463" s="5"/>
      <c r="C463" s="5"/>
      <c r="D463" s="5"/>
      <c r="E463" s="5"/>
      <c r="F463" s="5"/>
    </row>
    <row r="464" spans="2:6" ht="15.75" customHeight="1">
      <c r="B464" s="5"/>
      <c r="C464" s="5"/>
      <c r="D464" s="5"/>
      <c r="E464" s="5"/>
      <c r="F464" s="5"/>
    </row>
    <row r="465" spans="2:6" ht="15.75" customHeight="1">
      <c r="B465" s="5"/>
      <c r="C465" s="5"/>
      <c r="D465" s="5"/>
      <c r="E465" s="5"/>
      <c r="F465" s="5"/>
    </row>
    <row r="466" spans="2:6" ht="15.75" customHeight="1">
      <c r="B466" s="5"/>
      <c r="C466" s="5"/>
      <c r="D466" s="5"/>
      <c r="E466" s="5"/>
      <c r="F466" s="5"/>
    </row>
    <row r="467" spans="2:6" ht="15.75" customHeight="1">
      <c r="B467" s="5"/>
      <c r="C467" s="5"/>
      <c r="D467" s="5"/>
      <c r="E467" s="5"/>
      <c r="F467" s="5"/>
    </row>
    <row r="468" spans="2:6" ht="15.75" customHeight="1">
      <c r="B468" s="5"/>
      <c r="C468" s="5"/>
      <c r="D468" s="5"/>
      <c r="E468" s="5"/>
      <c r="F468" s="5"/>
    </row>
    <row r="469" spans="2:6" ht="15.75" customHeight="1">
      <c r="B469" s="5"/>
      <c r="C469" s="5"/>
      <c r="D469" s="5"/>
      <c r="E469" s="5"/>
      <c r="F469" s="5"/>
    </row>
    <row r="470" spans="2:6" ht="15.75" customHeight="1">
      <c r="B470" s="5"/>
      <c r="C470" s="5"/>
      <c r="D470" s="5"/>
      <c r="E470" s="5"/>
      <c r="F470" s="5"/>
    </row>
    <row r="471" spans="2:6" ht="15.75" customHeight="1">
      <c r="B471" s="5"/>
      <c r="C471" s="5"/>
      <c r="D471" s="5"/>
      <c r="E471" s="5"/>
      <c r="F471" s="5"/>
    </row>
    <row r="472" spans="2:6" ht="15.75" customHeight="1">
      <c r="B472" s="5"/>
      <c r="C472" s="5"/>
      <c r="D472" s="5"/>
      <c r="E472" s="5"/>
      <c r="F472" s="5"/>
    </row>
    <row r="473" spans="2:6" ht="15.75" customHeight="1">
      <c r="B473" s="5"/>
      <c r="C473" s="5"/>
      <c r="D473" s="5"/>
      <c r="E473" s="5"/>
      <c r="F473" s="5"/>
    </row>
    <row r="474" spans="2:6" ht="15.75" customHeight="1">
      <c r="B474" s="5"/>
      <c r="C474" s="5"/>
      <c r="D474" s="5"/>
      <c r="E474" s="5"/>
      <c r="F474" s="5"/>
    </row>
    <row r="475" spans="2:6" ht="15.75" customHeight="1">
      <c r="B475" s="5"/>
      <c r="C475" s="5"/>
      <c r="D475" s="5"/>
      <c r="E475" s="5"/>
      <c r="F475" s="5"/>
    </row>
    <row r="476" spans="2:6" ht="15.75" customHeight="1">
      <c r="B476" s="5"/>
      <c r="C476" s="5"/>
      <c r="D476" s="5"/>
      <c r="E476" s="5"/>
      <c r="F476" s="5"/>
    </row>
    <row r="477" spans="2:6" ht="15.75" customHeight="1">
      <c r="B477" s="5"/>
      <c r="C477" s="5"/>
      <c r="D477" s="5"/>
      <c r="E477" s="5"/>
      <c r="F477" s="5"/>
    </row>
    <row r="478" spans="2:6" ht="15.75" customHeight="1">
      <c r="B478" s="5"/>
      <c r="C478" s="5"/>
      <c r="D478" s="5"/>
      <c r="E478" s="5"/>
      <c r="F478" s="5"/>
    </row>
    <row r="479" spans="2:6" ht="15.75" customHeight="1">
      <c r="B479" s="5"/>
      <c r="C479" s="5"/>
      <c r="D479" s="5"/>
      <c r="E479" s="5"/>
      <c r="F479" s="5"/>
    </row>
    <row r="480" spans="2:6" ht="15.75" customHeight="1">
      <c r="B480" s="5"/>
      <c r="C480" s="5"/>
      <c r="D480" s="5"/>
      <c r="E480" s="5"/>
      <c r="F480" s="5"/>
    </row>
    <row r="481" spans="2:6" ht="15.75" customHeight="1">
      <c r="B481" s="5"/>
      <c r="C481" s="5"/>
      <c r="D481" s="5"/>
      <c r="E481" s="5"/>
      <c r="F481" s="5"/>
    </row>
    <row r="482" spans="2:6" ht="15.75" customHeight="1">
      <c r="B482" s="5"/>
      <c r="C482" s="5"/>
      <c r="D482" s="5"/>
      <c r="E482" s="5"/>
      <c r="F482" s="5"/>
    </row>
    <row r="483" spans="2:6" ht="15.75" customHeight="1">
      <c r="B483" s="5"/>
      <c r="C483" s="5"/>
      <c r="D483" s="5"/>
      <c r="E483" s="5"/>
      <c r="F483" s="5"/>
    </row>
    <row r="484" spans="2:6" ht="15.75" customHeight="1">
      <c r="B484" s="5"/>
      <c r="C484" s="5"/>
      <c r="D484" s="5"/>
      <c r="E484" s="5"/>
      <c r="F484" s="5"/>
    </row>
    <row r="485" spans="2:6" ht="15.75" customHeight="1">
      <c r="B485" s="5"/>
      <c r="C485" s="5"/>
      <c r="D485" s="5"/>
      <c r="E485" s="5"/>
      <c r="F485" s="5"/>
    </row>
    <row r="486" spans="2:6" ht="15.75" customHeight="1">
      <c r="B486" s="5"/>
      <c r="C486" s="5"/>
      <c r="D486" s="5"/>
      <c r="E486" s="5"/>
      <c r="F486" s="5"/>
    </row>
    <row r="487" spans="2:6" ht="15.75" customHeight="1">
      <c r="B487" s="5"/>
      <c r="C487" s="5"/>
      <c r="D487" s="5"/>
      <c r="E487" s="5"/>
      <c r="F487" s="5"/>
    </row>
    <row r="488" spans="2:6" ht="15.75" customHeight="1">
      <c r="B488" s="5"/>
      <c r="C488" s="5"/>
      <c r="D488" s="5"/>
      <c r="E488" s="5"/>
      <c r="F488" s="5"/>
    </row>
    <row r="489" spans="2:6" ht="15.75" customHeight="1">
      <c r="B489" s="5"/>
      <c r="C489" s="5"/>
      <c r="D489" s="5"/>
      <c r="E489" s="5"/>
      <c r="F489" s="5"/>
    </row>
    <row r="490" spans="2:6" ht="15.75" customHeight="1">
      <c r="B490" s="5"/>
      <c r="C490" s="5"/>
      <c r="D490" s="5"/>
      <c r="E490" s="5"/>
      <c r="F490" s="5"/>
    </row>
    <row r="491" spans="2:6" ht="15.75" customHeight="1">
      <c r="B491" s="5"/>
      <c r="C491" s="5"/>
      <c r="D491" s="5"/>
      <c r="E491" s="5"/>
      <c r="F491" s="5"/>
    </row>
    <row r="492" spans="2:6" ht="15.75" customHeight="1">
      <c r="B492" s="5"/>
      <c r="C492" s="5"/>
      <c r="D492" s="5"/>
      <c r="E492" s="5"/>
      <c r="F492" s="5"/>
    </row>
    <row r="493" spans="2:6" ht="15.75" customHeight="1">
      <c r="B493" s="5"/>
      <c r="C493" s="5"/>
      <c r="D493" s="5"/>
      <c r="E493" s="5"/>
      <c r="F493" s="5"/>
    </row>
    <row r="494" spans="2:6" ht="15.75" customHeight="1">
      <c r="B494" s="5"/>
      <c r="C494" s="5"/>
      <c r="D494" s="5"/>
      <c r="E494" s="5"/>
      <c r="F494" s="5"/>
    </row>
    <row r="495" spans="2:6" ht="15.75" customHeight="1">
      <c r="B495" s="5"/>
      <c r="C495" s="5"/>
      <c r="D495" s="5"/>
      <c r="E495" s="5"/>
      <c r="F495" s="5"/>
    </row>
    <row r="496" spans="2:6" ht="15.75" customHeight="1">
      <c r="B496" s="5"/>
      <c r="C496" s="5"/>
      <c r="D496" s="5"/>
      <c r="E496" s="5"/>
      <c r="F496" s="5"/>
    </row>
    <row r="497" spans="2:6" ht="15.75" customHeight="1">
      <c r="B497" s="5"/>
      <c r="C497" s="5"/>
      <c r="D497" s="5"/>
      <c r="E497" s="5"/>
      <c r="F497" s="5"/>
    </row>
    <row r="498" spans="2:6" ht="15.75" customHeight="1">
      <c r="B498" s="5"/>
      <c r="C498" s="5"/>
      <c r="D498" s="5"/>
      <c r="E498" s="5"/>
      <c r="F498" s="5"/>
    </row>
    <row r="499" spans="2:6" ht="15.75" customHeight="1">
      <c r="B499" s="5"/>
      <c r="C499" s="5"/>
      <c r="D499" s="5"/>
      <c r="E499" s="5"/>
      <c r="F499" s="5"/>
    </row>
    <row r="500" spans="2:6" ht="15.75" customHeight="1">
      <c r="B500" s="5"/>
      <c r="C500" s="5"/>
      <c r="D500" s="5"/>
      <c r="E500" s="5"/>
      <c r="F500" s="5"/>
    </row>
    <row r="501" spans="2:6" ht="15.75" customHeight="1">
      <c r="B501" s="5"/>
      <c r="C501" s="5"/>
      <c r="D501" s="5"/>
      <c r="E501" s="5"/>
      <c r="F501" s="5"/>
    </row>
    <row r="502" spans="2:6" ht="15.75" customHeight="1">
      <c r="B502" s="5"/>
      <c r="C502" s="5"/>
      <c r="D502" s="5"/>
      <c r="E502" s="5"/>
      <c r="F502" s="5"/>
    </row>
    <row r="503" spans="2:6" ht="15.75" customHeight="1">
      <c r="B503" s="5"/>
      <c r="C503" s="5"/>
      <c r="D503" s="5"/>
      <c r="E503" s="5"/>
      <c r="F503" s="5"/>
    </row>
    <row r="504" spans="2:6" ht="15.75" customHeight="1">
      <c r="B504" s="5"/>
      <c r="C504" s="5"/>
      <c r="D504" s="5"/>
      <c r="E504" s="5"/>
      <c r="F504" s="5"/>
    </row>
    <row r="505" spans="2:6" ht="15.75" customHeight="1">
      <c r="B505" s="5"/>
      <c r="C505" s="5"/>
      <c r="D505" s="5"/>
      <c r="E505" s="5"/>
      <c r="F505" s="5"/>
    </row>
    <row r="506" spans="2:6" ht="15.75" customHeight="1">
      <c r="B506" s="5"/>
      <c r="C506" s="5"/>
      <c r="D506" s="5"/>
      <c r="E506" s="5"/>
      <c r="F506" s="5"/>
    </row>
    <row r="507" spans="2:6" ht="15.75" customHeight="1">
      <c r="B507" s="5"/>
      <c r="C507" s="5"/>
      <c r="D507" s="5"/>
      <c r="E507" s="5"/>
      <c r="F507" s="5"/>
    </row>
    <row r="508" spans="2:6" ht="15.75" customHeight="1">
      <c r="B508" s="5"/>
      <c r="C508" s="5"/>
      <c r="D508" s="5"/>
      <c r="E508" s="5"/>
      <c r="F508" s="5"/>
    </row>
    <row r="509" spans="2:6" ht="15.75" customHeight="1">
      <c r="B509" s="5"/>
      <c r="C509" s="5"/>
      <c r="D509" s="5"/>
      <c r="E509" s="5"/>
      <c r="F509" s="5"/>
    </row>
    <row r="510" spans="2:6" ht="15.75" customHeight="1">
      <c r="B510" s="5"/>
      <c r="C510" s="5"/>
      <c r="D510" s="5"/>
      <c r="E510" s="5"/>
      <c r="F510" s="5"/>
    </row>
    <row r="511" spans="2:6" ht="15.75" customHeight="1">
      <c r="B511" s="5"/>
      <c r="C511" s="5"/>
      <c r="D511" s="5"/>
      <c r="E511" s="5"/>
      <c r="F511" s="5"/>
    </row>
    <row r="512" spans="2:6" ht="15.75" customHeight="1">
      <c r="B512" s="5"/>
      <c r="C512" s="5"/>
      <c r="D512" s="5"/>
      <c r="E512" s="5"/>
      <c r="F512" s="5"/>
    </row>
    <row r="513" spans="2:6" ht="15.75" customHeight="1">
      <c r="B513" s="5"/>
      <c r="C513" s="5"/>
      <c r="D513" s="5"/>
      <c r="E513" s="5"/>
      <c r="F513" s="5"/>
    </row>
    <row r="514" spans="2:6" ht="15.75" customHeight="1">
      <c r="B514" s="5"/>
      <c r="C514" s="5"/>
      <c r="D514" s="5"/>
      <c r="E514" s="5"/>
      <c r="F514" s="5"/>
    </row>
    <row r="515" spans="2:6" ht="15.75" customHeight="1">
      <c r="B515" s="5"/>
      <c r="C515" s="5"/>
      <c r="D515" s="5"/>
      <c r="E515" s="5"/>
      <c r="F515" s="5"/>
    </row>
    <row r="516" spans="2:6" ht="15.75" customHeight="1">
      <c r="B516" s="5"/>
      <c r="C516" s="5"/>
      <c r="D516" s="5"/>
      <c r="E516" s="5"/>
      <c r="F516" s="5"/>
    </row>
    <row r="517" spans="2:6" ht="15.75" customHeight="1">
      <c r="B517" s="5"/>
      <c r="C517" s="5"/>
      <c r="D517" s="5"/>
      <c r="E517" s="5"/>
      <c r="F517" s="5"/>
    </row>
    <row r="518" spans="2:6" ht="15.75" customHeight="1">
      <c r="B518" s="5"/>
      <c r="C518" s="5"/>
      <c r="D518" s="5"/>
      <c r="E518" s="5"/>
      <c r="F518" s="5"/>
    </row>
    <row r="519" spans="2:6" ht="15.75" customHeight="1">
      <c r="B519" s="5"/>
      <c r="C519" s="5"/>
      <c r="D519" s="5"/>
      <c r="E519" s="5"/>
      <c r="F519" s="5"/>
    </row>
    <row r="520" spans="2:6" ht="15.75" customHeight="1">
      <c r="B520" s="5"/>
      <c r="C520" s="5"/>
      <c r="D520" s="5"/>
      <c r="E520" s="5"/>
      <c r="F520" s="5"/>
    </row>
    <row r="521" spans="2:6" ht="15.75" customHeight="1">
      <c r="B521" s="5"/>
      <c r="C521" s="5"/>
      <c r="D521" s="5"/>
      <c r="E521" s="5"/>
      <c r="F521" s="5"/>
    </row>
    <row r="522" spans="2:6" ht="15.75" customHeight="1">
      <c r="B522" s="5"/>
      <c r="C522" s="5"/>
      <c r="D522" s="5"/>
      <c r="E522" s="5"/>
      <c r="F522" s="5"/>
    </row>
    <row r="523" spans="2:6" ht="15.75" customHeight="1">
      <c r="B523" s="5"/>
      <c r="C523" s="5"/>
      <c r="D523" s="5"/>
      <c r="E523" s="5"/>
      <c r="F523" s="5"/>
    </row>
    <row r="524" spans="2:6" ht="15.75" customHeight="1">
      <c r="B524" s="5"/>
      <c r="C524" s="5"/>
      <c r="D524" s="5"/>
      <c r="E524" s="5"/>
      <c r="F524" s="5"/>
    </row>
    <row r="525" spans="2:6" ht="15.75" customHeight="1">
      <c r="B525" s="5"/>
      <c r="C525" s="5"/>
      <c r="D525" s="5"/>
      <c r="E525" s="5"/>
      <c r="F525" s="5"/>
    </row>
    <row r="526" spans="2:6" ht="15.75" customHeight="1">
      <c r="B526" s="5"/>
      <c r="C526" s="5"/>
      <c r="D526" s="5"/>
      <c r="E526" s="5"/>
      <c r="F526" s="5"/>
    </row>
    <row r="527" spans="2:6" ht="15.75" customHeight="1">
      <c r="B527" s="5"/>
      <c r="C527" s="5"/>
      <c r="D527" s="5"/>
      <c r="E527" s="5"/>
      <c r="F527" s="5"/>
    </row>
    <row r="528" spans="2:6" ht="15.75" customHeight="1">
      <c r="B528" s="5"/>
      <c r="C528" s="5"/>
      <c r="D528" s="5"/>
      <c r="E528" s="5"/>
      <c r="F528" s="5"/>
    </row>
    <row r="529" spans="2:6" ht="15.75" customHeight="1">
      <c r="B529" s="5"/>
      <c r="C529" s="5"/>
      <c r="D529" s="5"/>
      <c r="E529" s="5"/>
      <c r="F529" s="5"/>
    </row>
    <row r="530" spans="2:6" ht="15.75" customHeight="1">
      <c r="B530" s="5"/>
      <c r="C530" s="5"/>
      <c r="D530" s="5"/>
      <c r="E530" s="5"/>
      <c r="F530" s="5"/>
    </row>
    <row r="531" spans="2:6" ht="15.75" customHeight="1">
      <c r="B531" s="5"/>
      <c r="C531" s="5"/>
      <c r="D531" s="5"/>
      <c r="E531" s="5"/>
      <c r="F531" s="5"/>
    </row>
    <row r="532" spans="2:6" ht="15.75" customHeight="1">
      <c r="B532" s="5"/>
      <c r="C532" s="5"/>
      <c r="D532" s="5"/>
      <c r="E532" s="5"/>
      <c r="F532" s="5"/>
    </row>
    <row r="533" spans="2:6" ht="15.75" customHeight="1">
      <c r="B533" s="5"/>
      <c r="C533" s="5"/>
      <c r="D533" s="5"/>
      <c r="E533" s="5"/>
      <c r="F533" s="5"/>
    </row>
    <row r="534" spans="2:6" ht="15.75" customHeight="1">
      <c r="B534" s="5"/>
      <c r="C534" s="5"/>
      <c r="D534" s="5"/>
      <c r="E534" s="5"/>
      <c r="F534" s="5"/>
    </row>
    <row r="535" spans="2:6" ht="15.75" customHeight="1">
      <c r="B535" s="5"/>
      <c r="C535" s="5"/>
      <c r="D535" s="5"/>
      <c r="E535" s="5"/>
      <c r="F535" s="5"/>
    </row>
    <row r="536" spans="2:6" ht="15.75" customHeight="1">
      <c r="B536" s="5"/>
      <c r="C536" s="5"/>
      <c r="D536" s="5"/>
      <c r="E536" s="5"/>
      <c r="F536" s="5"/>
    </row>
    <row r="537" spans="2:6" ht="15.75" customHeight="1">
      <c r="B537" s="5"/>
      <c r="C537" s="5"/>
      <c r="D537" s="5"/>
      <c r="E537" s="5"/>
      <c r="F537" s="5"/>
    </row>
    <row r="538" spans="2:6" ht="15.75" customHeight="1">
      <c r="B538" s="5"/>
      <c r="C538" s="5"/>
      <c r="D538" s="5"/>
      <c r="E538" s="5"/>
      <c r="F538" s="5"/>
    </row>
    <row r="539" spans="2:6" ht="15.75" customHeight="1">
      <c r="B539" s="5"/>
      <c r="C539" s="5"/>
      <c r="D539" s="5"/>
      <c r="E539" s="5"/>
      <c r="F539" s="5"/>
    </row>
    <row r="540" spans="2:6" ht="15.75" customHeight="1">
      <c r="B540" s="5"/>
      <c r="C540" s="5"/>
      <c r="D540" s="5"/>
      <c r="E540" s="5"/>
      <c r="F540" s="5"/>
    </row>
    <row r="541" spans="2:6" ht="15.75" customHeight="1">
      <c r="B541" s="5"/>
      <c r="C541" s="5"/>
      <c r="D541" s="5"/>
      <c r="E541" s="5"/>
      <c r="F541" s="5"/>
    </row>
    <row r="542" spans="2:6" ht="15.75" customHeight="1">
      <c r="B542" s="5"/>
      <c r="C542" s="5"/>
      <c r="D542" s="5"/>
      <c r="E542" s="5"/>
      <c r="F542" s="5"/>
    </row>
    <row r="543" spans="2:6" ht="15.75" customHeight="1">
      <c r="B543" s="5"/>
      <c r="C543" s="5"/>
      <c r="D543" s="5"/>
      <c r="E543" s="5"/>
      <c r="F543" s="5"/>
    </row>
    <row r="544" spans="2:6" ht="15.75" customHeight="1">
      <c r="B544" s="5"/>
      <c r="C544" s="5"/>
      <c r="D544" s="5"/>
      <c r="E544" s="5"/>
      <c r="F544" s="5"/>
    </row>
    <row r="545" spans="2:6" ht="15.75" customHeight="1">
      <c r="B545" s="5"/>
      <c r="C545" s="5"/>
      <c r="D545" s="5"/>
      <c r="E545" s="5"/>
      <c r="F545" s="5"/>
    </row>
    <row r="546" spans="2:6" ht="15.75" customHeight="1">
      <c r="B546" s="5"/>
      <c r="C546" s="5"/>
      <c r="D546" s="5"/>
      <c r="E546" s="5"/>
      <c r="F546" s="5"/>
    </row>
    <row r="547" spans="2:6" ht="15.75" customHeight="1">
      <c r="B547" s="5"/>
      <c r="C547" s="5"/>
      <c r="D547" s="5"/>
      <c r="E547" s="5"/>
      <c r="F547" s="5"/>
    </row>
    <row r="548" spans="2:6" ht="15.75" customHeight="1">
      <c r="B548" s="5"/>
      <c r="C548" s="5"/>
      <c r="D548" s="5"/>
      <c r="E548" s="5"/>
      <c r="F548" s="5"/>
    </row>
    <row r="549" spans="2:6" ht="15.75" customHeight="1">
      <c r="B549" s="5"/>
      <c r="C549" s="5"/>
      <c r="D549" s="5"/>
      <c r="E549" s="5"/>
      <c r="F549" s="5"/>
    </row>
    <row r="550" spans="2:6" ht="15.75" customHeight="1">
      <c r="B550" s="5"/>
      <c r="C550" s="5"/>
      <c r="D550" s="5"/>
      <c r="E550" s="5"/>
      <c r="F550" s="5"/>
    </row>
    <row r="551" spans="2:6" ht="15.75" customHeight="1">
      <c r="B551" s="5"/>
      <c r="C551" s="5"/>
      <c r="D551" s="5"/>
      <c r="E551" s="5"/>
      <c r="F551" s="5"/>
    </row>
    <row r="552" spans="2:6" ht="15.75" customHeight="1">
      <c r="B552" s="5"/>
      <c r="C552" s="5"/>
      <c r="D552" s="5"/>
      <c r="E552" s="5"/>
      <c r="F552" s="5"/>
    </row>
    <row r="553" spans="2:6" ht="15.75" customHeight="1">
      <c r="B553" s="5"/>
      <c r="C553" s="5"/>
      <c r="D553" s="5"/>
      <c r="E553" s="5"/>
      <c r="F553" s="5"/>
    </row>
    <row r="554" spans="2:6" ht="15.75" customHeight="1">
      <c r="B554" s="5"/>
      <c r="C554" s="5"/>
      <c r="D554" s="5"/>
      <c r="E554" s="5"/>
      <c r="F554" s="5"/>
    </row>
    <row r="555" spans="2:6" ht="15.75" customHeight="1">
      <c r="B555" s="5"/>
      <c r="C555" s="5"/>
      <c r="D555" s="5"/>
      <c r="E555" s="5"/>
      <c r="F555" s="5"/>
    </row>
    <row r="556" spans="2:6" ht="15.75" customHeight="1">
      <c r="B556" s="5"/>
      <c r="C556" s="5"/>
      <c r="D556" s="5"/>
      <c r="E556" s="5"/>
      <c r="F556" s="5"/>
    </row>
    <row r="557" spans="2:6" ht="15.75" customHeight="1">
      <c r="B557" s="5"/>
      <c r="C557" s="5"/>
      <c r="D557" s="5"/>
      <c r="E557" s="5"/>
      <c r="F557" s="5"/>
    </row>
    <row r="558" spans="2:6" ht="15.75" customHeight="1">
      <c r="B558" s="5"/>
      <c r="C558" s="5"/>
      <c r="D558" s="5"/>
      <c r="E558" s="5"/>
      <c r="F558" s="5"/>
    </row>
    <row r="559" spans="2:6" ht="15.75" customHeight="1">
      <c r="B559" s="5"/>
      <c r="C559" s="5"/>
      <c r="D559" s="5"/>
      <c r="E559" s="5"/>
      <c r="F559" s="5"/>
    </row>
    <row r="560" spans="2:6" ht="15.75" customHeight="1">
      <c r="B560" s="5"/>
      <c r="C560" s="5"/>
      <c r="D560" s="5"/>
      <c r="E560" s="5"/>
      <c r="F560" s="5"/>
    </row>
    <row r="561" spans="2:6" ht="15.75" customHeight="1">
      <c r="B561" s="5"/>
      <c r="C561" s="5"/>
      <c r="D561" s="5"/>
      <c r="E561" s="5"/>
      <c r="F561" s="5"/>
    </row>
    <row r="562" spans="2:6" ht="15.75" customHeight="1">
      <c r="B562" s="5"/>
      <c r="C562" s="5"/>
      <c r="D562" s="5"/>
      <c r="E562" s="5"/>
      <c r="F562" s="5"/>
    </row>
    <row r="563" spans="2:6" ht="15.75" customHeight="1">
      <c r="B563" s="5"/>
      <c r="C563" s="5"/>
      <c r="D563" s="5"/>
      <c r="E563" s="5"/>
      <c r="F563" s="5"/>
    </row>
    <row r="564" spans="2:6" ht="15.75" customHeight="1">
      <c r="B564" s="5"/>
      <c r="C564" s="5"/>
      <c r="D564" s="5"/>
      <c r="E564" s="5"/>
      <c r="F564" s="5"/>
    </row>
    <row r="565" spans="2:6" ht="15.75" customHeight="1">
      <c r="B565" s="5"/>
      <c r="C565" s="5"/>
      <c r="D565" s="5"/>
      <c r="E565" s="5"/>
      <c r="F565" s="5"/>
    </row>
    <row r="566" spans="2:6" ht="15.75" customHeight="1">
      <c r="B566" s="5"/>
      <c r="C566" s="5"/>
      <c r="D566" s="5"/>
      <c r="E566" s="5"/>
      <c r="F566" s="5"/>
    </row>
    <row r="567" spans="2:6" ht="15.75" customHeight="1">
      <c r="B567" s="5"/>
      <c r="C567" s="5"/>
      <c r="D567" s="5"/>
      <c r="E567" s="5"/>
      <c r="F567" s="5"/>
    </row>
    <row r="568" spans="2:6" ht="15.75" customHeight="1">
      <c r="B568" s="5"/>
      <c r="C568" s="5"/>
      <c r="D568" s="5"/>
      <c r="E568" s="5"/>
      <c r="F568" s="5"/>
    </row>
    <row r="569" spans="2:6" ht="15.75" customHeight="1">
      <c r="B569" s="5"/>
      <c r="C569" s="5"/>
      <c r="D569" s="5"/>
      <c r="E569" s="5"/>
      <c r="F569" s="5"/>
    </row>
    <row r="570" spans="2:6" ht="15.75" customHeight="1">
      <c r="B570" s="5"/>
      <c r="C570" s="5"/>
      <c r="D570" s="5"/>
      <c r="E570" s="5"/>
      <c r="F570" s="5"/>
    </row>
    <row r="571" spans="2:6" ht="15.75" customHeight="1">
      <c r="B571" s="5"/>
      <c r="C571" s="5"/>
      <c r="D571" s="5"/>
      <c r="E571" s="5"/>
      <c r="F571" s="5"/>
    </row>
    <row r="572" spans="2:6" ht="15.75" customHeight="1">
      <c r="B572" s="5"/>
      <c r="C572" s="5"/>
      <c r="D572" s="5"/>
      <c r="E572" s="5"/>
      <c r="F572" s="5"/>
    </row>
    <row r="573" spans="2:6" ht="15.75" customHeight="1">
      <c r="B573" s="5"/>
      <c r="C573" s="5"/>
      <c r="D573" s="5"/>
      <c r="E573" s="5"/>
      <c r="F573" s="5"/>
    </row>
    <row r="574" spans="2:6" ht="15.75" customHeight="1">
      <c r="B574" s="5"/>
      <c r="C574" s="5"/>
      <c r="D574" s="5"/>
      <c r="E574" s="5"/>
      <c r="F574" s="5"/>
    </row>
    <row r="575" spans="2:6" ht="15.75" customHeight="1">
      <c r="B575" s="5"/>
      <c r="C575" s="5"/>
      <c r="D575" s="5"/>
      <c r="E575" s="5"/>
      <c r="F575" s="5"/>
    </row>
    <row r="576" spans="2:6" ht="15.75" customHeight="1">
      <c r="B576" s="5"/>
      <c r="C576" s="5"/>
      <c r="D576" s="5"/>
      <c r="E576" s="5"/>
      <c r="F576" s="5"/>
    </row>
    <row r="577" spans="2:6" ht="15.75" customHeight="1">
      <c r="B577" s="5"/>
      <c r="C577" s="5"/>
      <c r="D577" s="5"/>
      <c r="E577" s="5"/>
      <c r="F577" s="5"/>
    </row>
    <row r="578" spans="2:6" ht="15.75" customHeight="1">
      <c r="B578" s="5"/>
      <c r="C578" s="5"/>
      <c r="D578" s="5"/>
      <c r="E578" s="5"/>
      <c r="F578" s="5"/>
    </row>
    <row r="579" spans="2:6" ht="15.75" customHeight="1">
      <c r="B579" s="5"/>
      <c r="C579" s="5"/>
      <c r="D579" s="5"/>
      <c r="E579" s="5"/>
      <c r="F579" s="5"/>
    </row>
    <row r="580" spans="2:6" ht="15.75" customHeight="1">
      <c r="B580" s="5"/>
      <c r="C580" s="5"/>
      <c r="D580" s="5"/>
      <c r="E580" s="5"/>
      <c r="F580" s="5"/>
    </row>
    <row r="581" spans="2:6" ht="15.75" customHeight="1">
      <c r="B581" s="5"/>
      <c r="C581" s="5"/>
      <c r="D581" s="5"/>
      <c r="E581" s="5"/>
      <c r="F581" s="5"/>
    </row>
    <row r="582" spans="2:6" ht="15.75" customHeight="1">
      <c r="B582" s="5"/>
      <c r="C582" s="5"/>
      <c r="D582" s="5"/>
      <c r="E582" s="5"/>
      <c r="F582" s="5"/>
    </row>
    <row r="583" spans="2:6" ht="15.75" customHeight="1">
      <c r="B583" s="5"/>
      <c r="C583" s="5"/>
      <c r="D583" s="5"/>
      <c r="E583" s="5"/>
      <c r="F583" s="5"/>
    </row>
    <row r="584" spans="2:6" ht="15.75" customHeight="1">
      <c r="B584" s="5"/>
      <c r="C584" s="5"/>
      <c r="D584" s="5"/>
      <c r="E584" s="5"/>
      <c r="F584" s="5"/>
    </row>
    <row r="585" spans="2:6" ht="15.75" customHeight="1">
      <c r="B585" s="5"/>
      <c r="C585" s="5"/>
      <c r="D585" s="5"/>
      <c r="E585" s="5"/>
      <c r="F585" s="5"/>
    </row>
    <row r="586" spans="2:6" ht="15.75" customHeight="1">
      <c r="B586" s="5"/>
      <c r="C586" s="5"/>
      <c r="D586" s="5"/>
      <c r="E586" s="5"/>
      <c r="F586" s="5"/>
    </row>
    <row r="587" spans="2:6" ht="15.75" customHeight="1">
      <c r="B587" s="5"/>
      <c r="C587" s="5"/>
      <c r="D587" s="5"/>
      <c r="E587" s="5"/>
      <c r="F587" s="5"/>
    </row>
    <row r="588" spans="2:6" ht="15.75" customHeight="1">
      <c r="B588" s="5"/>
      <c r="C588" s="5"/>
      <c r="D588" s="5"/>
      <c r="E588" s="5"/>
      <c r="F588" s="5"/>
    </row>
    <row r="589" spans="2:6" ht="15.75" customHeight="1">
      <c r="B589" s="5"/>
      <c r="C589" s="5"/>
      <c r="D589" s="5"/>
      <c r="E589" s="5"/>
      <c r="F589" s="5"/>
    </row>
    <row r="590" spans="2:6" ht="15.75" customHeight="1">
      <c r="B590" s="5"/>
      <c r="C590" s="5"/>
      <c r="D590" s="5"/>
      <c r="E590" s="5"/>
      <c r="F590" s="5"/>
    </row>
    <row r="591" spans="2:6" ht="15.75" customHeight="1">
      <c r="B591" s="5"/>
      <c r="C591" s="5"/>
      <c r="D591" s="5"/>
      <c r="E591" s="5"/>
      <c r="F591" s="5"/>
    </row>
    <row r="592" spans="2:6" ht="15.75" customHeight="1">
      <c r="B592" s="5"/>
      <c r="C592" s="5"/>
      <c r="D592" s="5"/>
      <c r="E592" s="5"/>
      <c r="F592" s="5"/>
    </row>
    <row r="593" spans="2:6" ht="15.75" customHeight="1">
      <c r="B593" s="5"/>
      <c r="C593" s="5"/>
      <c r="D593" s="5"/>
      <c r="E593" s="5"/>
      <c r="F593" s="5"/>
    </row>
    <row r="594" spans="2:6" ht="15.75" customHeight="1">
      <c r="B594" s="5"/>
      <c r="C594" s="5"/>
      <c r="D594" s="5"/>
      <c r="E594" s="5"/>
      <c r="F594" s="5"/>
    </row>
    <row r="595" spans="2:6" ht="15.75" customHeight="1">
      <c r="B595" s="5"/>
      <c r="C595" s="5"/>
      <c r="D595" s="5"/>
      <c r="E595" s="5"/>
      <c r="F595" s="5"/>
    </row>
    <row r="596" spans="2:6" ht="15.75" customHeight="1">
      <c r="B596" s="5"/>
      <c r="C596" s="5"/>
      <c r="D596" s="5"/>
      <c r="E596" s="5"/>
      <c r="F596" s="5"/>
    </row>
    <row r="597" spans="2:6" ht="15.75" customHeight="1">
      <c r="B597" s="5"/>
      <c r="C597" s="5"/>
      <c r="D597" s="5"/>
      <c r="E597" s="5"/>
      <c r="F597" s="5"/>
    </row>
    <row r="598" spans="2:6" ht="15.75" customHeight="1">
      <c r="B598" s="5"/>
      <c r="C598" s="5"/>
      <c r="D598" s="5"/>
      <c r="E598" s="5"/>
      <c r="F598" s="5"/>
    </row>
    <row r="599" spans="2:6" ht="15.75" customHeight="1">
      <c r="B599" s="5"/>
      <c r="C599" s="5"/>
      <c r="D599" s="5"/>
      <c r="E599" s="5"/>
      <c r="F599" s="5"/>
    </row>
    <row r="600" spans="2:6" ht="15.75" customHeight="1">
      <c r="B600" s="5"/>
      <c r="C600" s="5"/>
      <c r="D600" s="5"/>
      <c r="E600" s="5"/>
      <c r="F600" s="5"/>
    </row>
    <row r="601" spans="2:6" ht="15.75" customHeight="1">
      <c r="B601" s="5"/>
      <c r="C601" s="5"/>
      <c r="D601" s="5"/>
      <c r="E601" s="5"/>
      <c r="F601" s="5"/>
    </row>
    <row r="602" spans="2:6" ht="15.75" customHeight="1">
      <c r="B602" s="5"/>
      <c r="C602" s="5"/>
      <c r="D602" s="5"/>
      <c r="E602" s="5"/>
      <c r="F602" s="5"/>
    </row>
    <row r="603" spans="2:6" ht="15.75" customHeight="1">
      <c r="B603" s="5"/>
      <c r="C603" s="5"/>
      <c r="D603" s="5"/>
      <c r="E603" s="5"/>
      <c r="F603" s="5"/>
    </row>
    <row r="604" spans="2:6" ht="15.75" customHeight="1">
      <c r="B604" s="5"/>
      <c r="C604" s="5"/>
      <c r="D604" s="5"/>
      <c r="E604" s="5"/>
      <c r="F604" s="5"/>
    </row>
    <row r="605" spans="2:6" ht="15.75" customHeight="1">
      <c r="B605" s="5"/>
      <c r="C605" s="5"/>
      <c r="D605" s="5"/>
      <c r="E605" s="5"/>
      <c r="F605" s="5"/>
    </row>
    <row r="606" spans="2:6" ht="15.75" customHeight="1">
      <c r="B606" s="5"/>
      <c r="C606" s="5"/>
      <c r="D606" s="5"/>
      <c r="E606" s="5"/>
      <c r="F606" s="5"/>
    </row>
    <row r="607" spans="2:6" ht="15.75" customHeight="1">
      <c r="B607" s="5"/>
      <c r="C607" s="5"/>
      <c r="D607" s="5"/>
      <c r="E607" s="5"/>
      <c r="F607" s="5"/>
    </row>
    <row r="608" spans="2:6" ht="15.75" customHeight="1">
      <c r="B608" s="5"/>
      <c r="C608" s="5"/>
      <c r="D608" s="5"/>
      <c r="E608" s="5"/>
      <c r="F608" s="5"/>
    </row>
    <row r="609" spans="2:6" ht="15.75" customHeight="1">
      <c r="B609" s="5"/>
      <c r="C609" s="5"/>
      <c r="D609" s="5"/>
      <c r="E609" s="5"/>
      <c r="F609" s="5"/>
    </row>
    <row r="610" spans="2:6" ht="15.75" customHeight="1">
      <c r="B610" s="5"/>
      <c r="C610" s="5"/>
      <c r="D610" s="5"/>
      <c r="E610" s="5"/>
      <c r="F610" s="5"/>
    </row>
    <row r="611" spans="2:6" ht="15.75" customHeight="1">
      <c r="B611" s="5"/>
      <c r="C611" s="5"/>
      <c r="D611" s="5"/>
      <c r="E611" s="5"/>
      <c r="F611" s="5"/>
    </row>
    <row r="612" spans="2:6" ht="15.75" customHeight="1">
      <c r="B612" s="5"/>
      <c r="C612" s="5"/>
      <c r="D612" s="5"/>
      <c r="E612" s="5"/>
      <c r="F612" s="5"/>
    </row>
    <row r="613" spans="2:6" ht="15.75" customHeight="1">
      <c r="B613" s="5"/>
      <c r="C613" s="5"/>
      <c r="D613" s="5"/>
      <c r="E613" s="5"/>
      <c r="F613" s="5"/>
    </row>
    <row r="614" spans="2:6" ht="15.75" customHeight="1">
      <c r="B614" s="5"/>
      <c r="C614" s="5"/>
      <c r="D614" s="5"/>
      <c r="E614" s="5"/>
      <c r="F614" s="5"/>
    </row>
    <row r="615" spans="2:6" ht="15.75" customHeight="1">
      <c r="B615" s="5"/>
      <c r="C615" s="5"/>
      <c r="D615" s="5"/>
      <c r="E615" s="5"/>
      <c r="F615" s="5"/>
    </row>
    <row r="616" spans="2:6" ht="15.75" customHeight="1">
      <c r="B616" s="5"/>
      <c r="C616" s="5"/>
      <c r="D616" s="5"/>
      <c r="E616" s="5"/>
      <c r="F616" s="5"/>
    </row>
    <row r="617" spans="2:6" ht="15.75" customHeight="1">
      <c r="B617" s="5"/>
      <c r="C617" s="5"/>
      <c r="D617" s="5"/>
      <c r="E617" s="5"/>
      <c r="F617" s="5"/>
    </row>
    <row r="618" spans="2:6" ht="15.75" customHeight="1">
      <c r="B618" s="5"/>
      <c r="C618" s="5"/>
      <c r="D618" s="5"/>
      <c r="E618" s="5"/>
      <c r="F618" s="5"/>
    </row>
    <row r="619" spans="2:6" ht="15.75" customHeight="1">
      <c r="B619" s="5"/>
      <c r="C619" s="5"/>
      <c r="D619" s="5"/>
      <c r="E619" s="5"/>
      <c r="F619" s="5"/>
    </row>
    <row r="620" spans="2:6" ht="15.75" customHeight="1">
      <c r="B620" s="5"/>
      <c r="C620" s="5"/>
      <c r="D620" s="5"/>
      <c r="E620" s="5"/>
      <c r="F620" s="5"/>
    </row>
    <row r="621" spans="2:6" ht="15.75" customHeight="1">
      <c r="B621" s="5"/>
      <c r="C621" s="5"/>
      <c r="D621" s="5"/>
      <c r="E621" s="5"/>
      <c r="F621" s="5"/>
    </row>
    <row r="622" spans="2:6" ht="15.75" customHeight="1">
      <c r="B622" s="5"/>
      <c r="C622" s="5"/>
      <c r="D622" s="5"/>
      <c r="E622" s="5"/>
      <c r="F622" s="5"/>
    </row>
    <row r="623" spans="2:6" ht="15.75" customHeight="1">
      <c r="B623" s="5"/>
      <c r="C623" s="5"/>
      <c r="D623" s="5"/>
      <c r="E623" s="5"/>
      <c r="F623" s="5"/>
    </row>
    <row r="624" spans="2:6" ht="15.75" customHeight="1">
      <c r="B624" s="5"/>
      <c r="C624" s="5"/>
      <c r="D624" s="5"/>
      <c r="E624" s="5"/>
      <c r="F624" s="5"/>
    </row>
    <row r="625" spans="2:6" ht="15.75" customHeight="1">
      <c r="B625" s="5"/>
      <c r="C625" s="5"/>
      <c r="D625" s="5"/>
      <c r="E625" s="5"/>
      <c r="F625" s="5"/>
    </row>
    <row r="626" spans="2:6" ht="15.75" customHeight="1">
      <c r="B626" s="5"/>
      <c r="C626" s="5"/>
      <c r="D626" s="5"/>
      <c r="E626" s="5"/>
      <c r="F626" s="5"/>
    </row>
    <row r="627" spans="2:6" ht="15.75" customHeight="1">
      <c r="B627" s="5"/>
      <c r="C627" s="5"/>
      <c r="D627" s="5"/>
      <c r="E627" s="5"/>
      <c r="F627" s="5"/>
    </row>
    <row r="628" spans="2:6" ht="15.75" customHeight="1">
      <c r="B628" s="5"/>
      <c r="C628" s="5"/>
      <c r="D628" s="5"/>
      <c r="E628" s="5"/>
      <c r="F628" s="5"/>
    </row>
    <row r="629" spans="2:6" ht="15.75" customHeight="1">
      <c r="B629" s="5"/>
      <c r="C629" s="5"/>
      <c r="D629" s="5"/>
      <c r="E629" s="5"/>
      <c r="F629" s="5"/>
    </row>
    <row r="630" spans="2:6" ht="15.75" customHeight="1">
      <c r="B630" s="5"/>
      <c r="C630" s="5"/>
      <c r="D630" s="5"/>
      <c r="E630" s="5"/>
      <c r="F630" s="5"/>
    </row>
    <row r="631" spans="2:6" ht="15.75" customHeight="1">
      <c r="B631" s="5"/>
      <c r="C631" s="5"/>
      <c r="D631" s="5"/>
      <c r="E631" s="5"/>
      <c r="F631" s="5"/>
    </row>
    <row r="632" spans="2:6" ht="15.75" customHeight="1">
      <c r="B632" s="5"/>
      <c r="C632" s="5"/>
      <c r="D632" s="5"/>
      <c r="E632" s="5"/>
      <c r="F632" s="5"/>
    </row>
    <row r="633" spans="2:6" ht="15.75" customHeight="1">
      <c r="B633" s="5"/>
      <c r="C633" s="5"/>
      <c r="D633" s="5"/>
      <c r="E633" s="5"/>
      <c r="F633" s="5"/>
    </row>
    <row r="634" spans="2:6" ht="15.75" customHeight="1">
      <c r="B634" s="5"/>
      <c r="C634" s="5"/>
      <c r="D634" s="5"/>
      <c r="E634" s="5"/>
      <c r="F634" s="5"/>
    </row>
    <row r="635" spans="2:6" ht="15.75" customHeight="1">
      <c r="B635" s="5"/>
      <c r="C635" s="5"/>
      <c r="D635" s="5"/>
      <c r="E635" s="5"/>
      <c r="F635" s="5"/>
    </row>
    <row r="636" spans="2:6" ht="15.75" customHeight="1">
      <c r="B636" s="5"/>
      <c r="C636" s="5"/>
      <c r="D636" s="5"/>
      <c r="E636" s="5"/>
      <c r="F636" s="5"/>
    </row>
    <row r="637" spans="2:6" ht="15.75" customHeight="1">
      <c r="B637" s="5"/>
      <c r="C637" s="5"/>
      <c r="D637" s="5"/>
      <c r="E637" s="5"/>
      <c r="F637" s="5"/>
    </row>
    <row r="638" spans="2:6" ht="15.75" customHeight="1">
      <c r="B638" s="5"/>
      <c r="C638" s="5"/>
      <c r="D638" s="5"/>
      <c r="E638" s="5"/>
      <c r="F638" s="5"/>
    </row>
    <row r="639" spans="2:6" ht="15.75" customHeight="1">
      <c r="B639" s="5"/>
      <c r="C639" s="5"/>
      <c r="D639" s="5"/>
      <c r="E639" s="5"/>
      <c r="F639" s="5"/>
    </row>
    <row r="640" spans="2:6" ht="15.75" customHeight="1">
      <c r="B640" s="5"/>
      <c r="C640" s="5"/>
      <c r="D640" s="5"/>
      <c r="E640" s="5"/>
      <c r="F640" s="5"/>
    </row>
    <row r="641" spans="2:6" ht="15.75" customHeight="1">
      <c r="B641" s="5"/>
      <c r="C641" s="5"/>
      <c r="D641" s="5"/>
      <c r="E641" s="5"/>
      <c r="F641" s="5"/>
    </row>
    <row r="642" spans="2:6" ht="15.75" customHeight="1">
      <c r="B642" s="5"/>
      <c r="C642" s="5"/>
      <c r="D642" s="5"/>
      <c r="E642" s="5"/>
      <c r="F642" s="5"/>
    </row>
    <row r="643" spans="2:6" ht="15.75" customHeight="1">
      <c r="B643" s="5"/>
      <c r="C643" s="5"/>
      <c r="D643" s="5"/>
      <c r="E643" s="5"/>
      <c r="F643" s="5"/>
    </row>
    <row r="644" spans="2:6" ht="15.75" customHeight="1">
      <c r="B644" s="5"/>
      <c r="C644" s="5"/>
      <c r="D644" s="5"/>
      <c r="E644" s="5"/>
      <c r="F644" s="5"/>
    </row>
    <row r="645" spans="2:6" ht="15.75" customHeight="1">
      <c r="B645" s="5"/>
      <c r="C645" s="5"/>
      <c r="D645" s="5"/>
      <c r="E645" s="5"/>
      <c r="F645" s="5"/>
    </row>
    <row r="646" spans="2:6" ht="15.75" customHeight="1">
      <c r="B646" s="5"/>
      <c r="C646" s="5"/>
      <c r="D646" s="5"/>
      <c r="E646" s="5"/>
      <c r="F646" s="5"/>
    </row>
    <row r="647" spans="2:6" ht="15.75" customHeight="1">
      <c r="B647" s="5"/>
      <c r="C647" s="5"/>
      <c r="D647" s="5"/>
      <c r="E647" s="5"/>
      <c r="F647" s="5"/>
    </row>
    <row r="648" spans="2:6" ht="15.75" customHeight="1">
      <c r="B648" s="5"/>
      <c r="C648" s="5"/>
      <c r="D648" s="5"/>
      <c r="E648" s="5"/>
      <c r="F648" s="5"/>
    </row>
    <row r="649" spans="2:6" ht="15.75" customHeight="1">
      <c r="B649" s="5"/>
      <c r="C649" s="5"/>
      <c r="D649" s="5"/>
      <c r="E649" s="5"/>
      <c r="F649" s="5"/>
    </row>
    <row r="650" spans="2:6" ht="15.75" customHeight="1">
      <c r="B650" s="5"/>
      <c r="C650" s="5"/>
      <c r="D650" s="5"/>
      <c r="E650" s="5"/>
      <c r="F650" s="5"/>
    </row>
    <row r="651" spans="2:6" ht="15.75" customHeight="1">
      <c r="B651" s="5"/>
      <c r="C651" s="5"/>
      <c r="D651" s="5"/>
      <c r="E651" s="5"/>
      <c r="F651" s="5"/>
    </row>
    <row r="652" spans="2:6" ht="15.75" customHeight="1">
      <c r="B652" s="5"/>
      <c r="C652" s="5"/>
      <c r="D652" s="5"/>
      <c r="E652" s="5"/>
      <c r="F652" s="5"/>
    </row>
    <row r="653" spans="2:6" ht="15.75" customHeight="1">
      <c r="B653" s="5"/>
      <c r="C653" s="5"/>
      <c r="D653" s="5"/>
      <c r="E653" s="5"/>
      <c r="F653" s="5"/>
    </row>
    <row r="654" spans="2:6" ht="15.75" customHeight="1">
      <c r="B654" s="5"/>
      <c r="C654" s="5"/>
      <c r="D654" s="5"/>
      <c r="E654" s="5"/>
      <c r="F654" s="5"/>
    </row>
    <row r="655" spans="2:6" ht="15.75" customHeight="1">
      <c r="B655" s="5"/>
      <c r="C655" s="5"/>
      <c r="D655" s="5"/>
      <c r="E655" s="5"/>
      <c r="F655" s="5"/>
    </row>
    <row r="656" spans="2:6" ht="15.75" customHeight="1">
      <c r="B656" s="5"/>
      <c r="C656" s="5"/>
      <c r="D656" s="5"/>
      <c r="E656" s="5"/>
      <c r="F656" s="5"/>
    </row>
    <row r="657" spans="2:6" ht="15.75" customHeight="1">
      <c r="B657" s="5"/>
      <c r="C657" s="5"/>
      <c r="D657" s="5"/>
      <c r="E657" s="5"/>
      <c r="F657" s="5"/>
    </row>
    <row r="658" spans="2:6" ht="15.75" customHeight="1">
      <c r="B658" s="5"/>
      <c r="C658" s="5"/>
      <c r="D658" s="5"/>
      <c r="E658" s="5"/>
      <c r="F658" s="5"/>
    </row>
    <row r="659" spans="2:6" ht="15.75" customHeight="1">
      <c r="B659" s="5"/>
      <c r="C659" s="5"/>
      <c r="D659" s="5"/>
      <c r="E659" s="5"/>
      <c r="F659" s="5"/>
    </row>
    <row r="660" spans="2:6" ht="15.75" customHeight="1">
      <c r="B660" s="5"/>
      <c r="C660" s="5"/>
      <c r="D660" s="5"/>
      <c r="E660" s="5"/>
      <c r="F660" s="5"/>
    </row>
    <row r="661" spans="2:6" ht="15.75" customHeight="1">
      <c r="B661" s="5"/>
      <c r="C661" s="5"/>
      <c r="D661" s="5"/>
      <c r="E661" s="5"/>
      <c r="F661" s="5"/>
    </row>
    <row r="662" spans="2:6" ht="15.75" customHeight="1">
      <c r="B662" s="5"/>
      <c r="C662" s="5"/>
      <c r="D662" s="5"/>
      <c r="E662" s="5"/>
      <c r="F662" s="5"/>
    </row>
    <row r="663" spans="2:6" ht="15.75" customHeight="1">
      <c r="B663" s="5"/>
      <c r="C663" s="5"/>
      <c r="D663" s="5"/>
      <c r="E663" s="5"/>
      <c r="F663" s="5"/>
    </row>
    <row r="664" spans="2:6" ht="15.75" customHeight="1">
      <c r="B664" s="5"/>
      <c r="C664" s="5"/>
      <c r="D664" s="5"/>
      <c r="E664" s="5"/>
      <c r="F664" s="5"/>
    </row>
    <row r="665" spans="2:6" ht="15.75" customHeight="1">
      <c r="B665" s="5"/>
      <c r="C665" s="5"/>
      <c r="D665" s="5"/>
      <c r="E665" s="5"/>
      <c r="F665" s="5"/>
    </row>
    <row r="666" spans="2:6" ht="15.75" customHeight="1">
      <c r="B666" s="5"/>
      <c r="C666" s="5"/>
      <c r="D666" s="5"/>
      <c r="E666" s="5"/>
      <c r="F666" s="5"/>
    </row>
    <row r="667" spans="2:6" ht="15.75" customHeight="1">
      <c r="B667" s="5"/>
      <c r="C667" s="5"/>
      <c r="D667" s="5"/>
      <c r="E667" s="5"/>
      <c r="F667" s="5"/>
    </row>
    <row r="668" spans="2:6" ht="15.75" customHeight="1">
      <c r="B668" s="5"/>
      <c r="C668" s="5"/>
      <c r="D668" s="5"/>
      <c r="E668" s="5"/>
      <c r="F668" s="5"/>
    </row>
    <row r="669" spans="2:6" ht="15.75" customHeight="1">
      <c r="B669" s="5"/>
      <c r="C669" s="5"/>
      <c r="D669" s="5"/>
      <c r="E669" s="5"/>
      <c r="F669" s="5"/>
    </row>
    <row r="670" spans="2:6" ht="15.75" customHeight="1">
      <c r="B670" s="5"/>
      <c r="C670" s="5"/>
      <c r="D670" s="5"/>
      <c r="E670" s="5"/>
      <c r="F670" s="5"/>
    </row>
    <row r="671" spans="2:6" ht="15.75" customHeight="1">
      <c r="B671" s="5"/>
      <c r="C671" s="5"/>
      <c r="D671" s="5"/>
      <c r="E671" s="5"/>
      <c r="F671" s="5"/>
    </row>
    <row r="672" spans="2:6" ht="15.75" customHeight="1">
      <c r="B672" s="5"/>
      <c r="C672" s="5"/>
      <c r="D672" s="5"/>
      <c r="E672" s="5"/>
      <c r="F672" s="5"/>
    </row>
    <row r="673" spans="2:6" ht="15.75" customHeight="1">
      <c r="B673" s="5"/>
      <c r="C673" s="5"/>
      <c r="D673" s="5"/>
      <c r="E673" s="5"/>
      <c r="F673" s="5"/>
    </row>
    <row r="674" spans="2:6" ht="15.75" customHeight="1">
      <c r="B674" s="5"/>
      <c r="C674" s="5"/>
      <c r="D674" s="5"/>
      <c r="E674" s="5"/>
      <c r="F674" s="5"/>
    </row>
    <row r="675" spans="2:6" ht="15.75" customHeight="1">
      <c r="B675" s="5"/>
      <c r="C675" s="5"/>
      <c r="D675" s="5"/>
      <c r="E675" s="5"/>
      <c r="F675" s="5"/>
    </row>
    <row r="676" spans="2:6" ht="15.75" customHeight="1">
      <c r="B676" s="5"/>
      <c r="C676" s="5"/>
      <c r="D676" s="5"/>
      <c r="E676" s="5"/>
      <c r="F676" s="5"/>
    </row>
    <row r="677" spans="2:6" ht="15.75" customHeight="1">
      <c r="B677" s="5"/>
      <c r="C677" s="5"/>
      <c r="D677" s="5"/>
      <c r="E677" s="5"/>
      <c r="F677" s="5"/>
    </row>
    <row r="678" spans="2:6" ht="15.75" customHeight="1">
      <c r="B678" s="5"/>
      <c r="C678" s="5"/>
      <c r="D678" s="5"/>
      <c r="E678" s="5"/>
      <c r="F678" s="5"/>
    </row>
    <row r="679" spans="2:6" ht="15.75" customHeight="1">
      <c r="B679" s="5"/>
      <c r="C679" s="5"/>
      <c r="D679" s="5"/>
      <c r="E679" s="5"/>
      <c r="F679" s="5"/>
    </row>
    <row r="680" spans="2:6" ht="15.75" customHeight="1">
      <c r="B680" s="5"/>
      <c r="C680" s="5"/>
      <c r="D680" s="5"/>
      <c r="E680" s="5"/>
      <c r="F680" s="5"/>
    </row>
    <row r="681" spans="2:6" ht="15.75" customHeight="1">
      <c r="B681" s="5"/>
      <c r="C681" s="5"/>
      <c r="D681" s="5"/>
      <c r="E681" s="5"/>
      <c r="F681" s="5"/>
    </row>
    <row r="682" spans="2:6" ht="15.75" customHeight="1">
      <c r="B682" s="5"/>
      <c r="C682" s="5"/>
      <c r="D682" s="5"/>
      <c r="E682" s="5"/>
      <c r="F682" s="5"/>
    </row>
    <row r="683" spans="2:6" ht="15.75" customHeight="1">
      <c r="B683" s="5"/>
      <c r="C683" s="5"/>
      <c r="D683" s="5"/>
      <c r="E683" s="5"/>
      <c r="F683" s="5"/>
    </row>
    <row r="684" spans="2:6" ht="15.75" customHeight="1">
      <c r="B684" s="5"/>
      <c r="C684" s="5"/>
      <c r="D684" s="5"/>
      <c r="E684" s="5"/>
      <c r="F684" s="5"/>
    </row>
    <row r="685" spans="2:6" ht="15.75" customHeight="1">
      <c r="B685" s="5"/>
      <c r="C685" s="5"/>
      <c r="D685" s="5"/>
      <c r="E685" s="5"/>
      <c r="F685" s="5"/>
    </row>
    <row r="686" spans="2:6" ht="15.75" customHeight="1">
      <c r="B686" s="5"/>
      <c r="C686" s="5"/>
      <c r="D686" s="5"/>
      <c r="E686" s="5"/>
      <c r="F686" s="5"/>
    </row>
    <row r="687" spans="2:6" ht="15.75" customHeight="1">
      <c r="B687" s="5"/>
      <c r="C687" s="5"/>
      <c r="D687" s="5"/>
      <c r="E687" s="5"/>
      <c r="F687" s="5"/>
    </row>
    <row r="688" spans="2:6" ht="15.75" customHeight="1">
      <c r="B688" s="5"/>
      <c r="C688" s="5"/>
      <c r="D688" s="5"/>
      <c r="E688" s="5"/>
      <c r="F688" s="5"/>
    </row>
    <row r="689" spans="2:6" ht="15.75" customHeight="1">
      <c r="B689" s="5"/>
      <c r="C689" s="5"/>
      <c r="D689" s="5"/>
      <c r="E689" s="5"/>
      <c r="F689" s="5"/>
    </row>
    <row r="690" spans="2:6" ht="15.75" customHeight="1">
      <c r="B690" s="5"/>
      <c r="C690" s="5"/>
      <c r="D690" s="5"/>
      <c r="E690" s="5"/>
      <c r="F690" s="5"/>
    </row>
    <row r="691" spans="2:6" ht="15.75" customHeight="1">
      <c r="B691" s="5"/>
      <c r="C691" s="5"/>
      <c r="D691" s="5"/>
      <c r="E691" s="5"/>
      <c r="F691" s="5"/>
    </row>
    <row r="692" spans="2:6" ht="15.75" customHeight="1">
      <c r="B692" s="5"/>
      <c r="C692" s="5"/>
      <c r="D692" s="5"/>
      <c r="E692" s="5"/>
      <c r="F692" s="5"/>
    </row>
    <row r="693" spans="2:6" ht="15.75" customHeight="1">
      <c r="B693" s="5"/>
      <c r="C693" s="5"/>
      <c r="D693" s="5"/>
      <c r="E693" s="5"/>
      <c r="F693" s="5"/>
    </row>
    <row r="694" spans="2:6" ht="15.75" customHeight="1">
      <c r="B694" s="5"/>
      <c r="C694" s="5"/>
      <c r="D694" s="5"/>
      <c r="E694" s="5"/>
      <c r="F694" s="5"/>
    </row>
    <row r="695" spans="2:6" ht="15.75" customHeight="1">
      <c r="B695" s="5"/>
      <c r="C695" s="5"/>
      <c r="D695" s="5"/>
      <c r="E695" s="5"/>
      <c r="F695" s="5"/>
    </row>
    <row r="696" spans="2:6" ht="15.75" customHeight="1">
      <c r="B696" s="5"/>
      <c r="C696" s="5"/>
      <c r="D696" s="5"/>
      <c r="E696" s="5"/>
      <c r="F696" s="5"/>
    </row>
    <row r="697" spans="2:6" ht="15.75" customHeight="1">
      <c r="B697" s="5"/>
      <c r="C697" s="5"/>
      <c r="D697" s="5"/>
      <c r="E697" s="5"/>
      <c r="F697" s="5"/>
    </row>
    <row r="698" spans="2:6" ht="15.75" customHeight="1">
      <c r="B698" s="5"/>
      <c r="C698" s="5"/>
      <c r="D698" s="5"/>
      <c r="E698" s="5"/>
      <c r="F698" s="5"/>
    </row>
    <row r="699" spans="2:6" ht="15.75" customHeight="1">
      <c r="B699" s="5"/>
      <c r="C699" s="5"/>
      <c r="D699" s="5"/>
      <c r="E699" s="5"/>
      <c r="F699" s="5"/>
    </row>
    <row r="700" spans="2:6" ht="15.75" customHeight="1">
      <c r="B700" s="5"/>
      <c r="C700" s="5"/>
      <c r="D700" s="5"/>
      <c r="E700" s="5"/>
      <c r="F700" s="5"/>
    </row>
    <row r="701" spans="2:6" ht="15.75" customHeight="1">
      <c r="B701" s="5"/>
      <c r="C701" s="5"/>
      <c r="D701" s="5"/>
      <c r="E701" s="5"/>
      <c r="F701" s="5"/>
    </row>
    <row r="702" spans="2:6" ht="15.75" customHeight="1">
      <c r="B702" s="5"/>
      <c r="C702" s="5"/>
      <c r="D702" s="5"/>
      <c r="E702" s="5"/>
      <c r="F702" s="5"/>
    </row>
    <row r="703" spans="2:6" ht="15.75" customHeight="1">
      <c r="B703" s="5"/>
      <c r="C703" s="5"/>
      <c r="D703" s="5"/>
      <c r="E703" s="5"/>
      <c r="F703" s="5"/>
    </row>
    <row r="704" spans="2:6" ht="15.75" customHeight="1">
      <c r="B704" s="5"/>
      <c r="C704" s="5"/>
      <c r="D704" s="5"/>
      <c r="E704" s="5"/>
      <c r="F704" s="5"/>
    </row>
    <row r="705" spans="2:6" ht="15.75" customHeight="1">
      <c r="B705" s="5"/>
      <c r="C705" s="5"/>
      <c r="D705" s="5"/>
      <c r="E705" s="5"/>
      <c r="F705" s="5"/>
    </row>
    <row r="706" spans="2:6" ht="15.75" customHeight="1">
      <c r="B706" s="5"/>
      <c r="C706" s="5"/>
      <c r="D706" s="5"/>
      <c r="E706" s="5"/>
      <c r="F706" s="5"/>
    </row>
    <row r="707" spans="2:6" ht="15.75" customHeight="1">
      <c r="B707" s="5"/>
      <c r="C707" s="5"/>
      <c r="D707" s="5"/>
      <c r="E707" s="5"/>
      <c r="F707" s="5"/>
    </row>
    <row r="708" spans="2:6" ht="15.75" customHeight="1">
      <c r="B708" s="5"/>
      <c r="C708" s="5"/>
      <c r="D708" s="5"/>
      <c r="E708" s="5"/>
      <c r="F708" s="5"/>
    </row>
    <row r="709" spans="2:6" ht="15.75" customHeight="1">
      <c r="B709" s="5"/>
      <c r="C709" s="5"/>
      <c r="D709" s="5"/>
      <c r="E709" s="5"/>
      <c r="F709" s="5"/>
    </row>
    <row r="710" spans="2:6" ht="15.75" customHeight="1">
      <c r="B710" s="5"/>
      <c r="C710" s="5"/>
      <c r="D710" s="5"/>
      <c r="E710" s="5"/>
      <c r="F710" s="5"/>
    </row>
    <row r="711" spans="2:6" ht="15.75" customHeight="1">
      <c r="B711" s="5"/>
      <c r="C711" s="5"/>
      <c r="D711" s="5"/>
      <c r="E711" s="5"/>
      <c r="F711" s="5"/>
    </row>
    <row r="712" spans="2:6" ht="15.75" customHeight="1">
      <c r="B712" s="5"/>
      <c r="C712" s="5"/>
      <c r="D712" s="5"/>
      <c r="E712" s="5"/>
      <c r="F712" s="5"/>
    </row>
    <row r="713" spans="2:6" ht="15.75" customHeight="1">
      <c r="B713" s="5"/>
      <c r="C713" s="5"/>
      <c r="D713" s="5"/>
      <c r="E713" s="5"/>
      <c r="F713" s="5"/>
    </row>
    <row r="714" spans="2:6" ht="15.75" customHeight="1">
      <c r="B714" s="5"/>
      <c r="C714" s="5"/>
      <c r="D714" s="5"/>
      <c r="E714" s="5"/>
      <c r="F714" s="5"/>
    </row>
    <row r="715" spans="2:6" ht="15.75" customHeight="1">
      <c r="B715" s="5"/>
      <c r="C715" s="5"/>
      <c r="D715" s="5"/>
      <c r="E715" s="5"/>
      <c r="F715" s="5"/>
    </row>
    <row r="716" spans="2:6" ht="15.75" customHeight="1">
      <c r="B716" s="5"/>
      <c r="C716" s="5"/>
      <c r="D716" s="5"/>
      <c r="E716" s="5"/>
      <c r="F716" s="5"/>
    </row>
    <row r="717" spans="2:6" ht="15.75" customHeight="1">
      <c r="B717" s="5"/>
      <c r="C717" s="5"/>
      <c r="D717" s="5"/>
      <c r="E717" s="5"/>
      <c r="F717" s="5"/>
    </row>
    <row r="718" spans="2:6" ht="15.75" customHeight="1">
      <c r="B718" s="5"/>
      <c r="C718" s="5"/>
      <c r="D718" s="5"/>
      <c r="E718" s="5"/>
      <c r="F718" s="5"/>
    </row>
    <row r="719" spans="2:6" ht="15.75" customHeight="1">
      <c r="B719" s="5"/>
      <c r="C719" s="5"/>
      <c r="D719" s="5"/>
      <c r="E719" s="5"/>
      <c r="F719" s="5"/>
    </row>
    <row r="720" spans="2:6" ht="15.75" customHeight="1">
      <c r="B720" s="5"/>
      <c r="C720" s="5"/>
      <c r="D720" s="5"/>
      <c r="E720" s="5"/>
      <c r="F720" s="5"/>
    </row>
    <row r="721" spans="2:6" ht="15.75" customHeight="1">
      <c r="B721" s="5"/>
      <c r="C721" s="5"/>
      <c r="D721" s="5"/>
      <c r="E721" s="5"/>
      <c r="F721" s="5"/>
    </row>
    <row r="722" spans="2:6" ht="15.75" customHeight="1">
      <c r="B722" s="5"/>
      <c r="C722" s="5"/>
      <c r="D722" s="5"/>
      <c r="E722" s="5"/>
      <c r="F722" s="5"/>
    </row>
    <row r="723" spans="2:6" ht="15.75" customHeight="1">
      <c r="B723" s="5"/>
      <c r="C723" s="5"/>
      <c r="D723" s="5"/>
      <c r="E723" s="5"/>
      <c r="F723" s="5"/>
    </row>
    <row r="724" spans="2:6" ht="15.75" customHeight="1">
      <c r="B724" s="5"/>
      <c r="C724" s="5"/>
      <c r="D724" s="5"/>
      <c r="E724" s="5"/>
      <c r="F724" s="5"/>
    </row>
    <row r="725" spans="2:6" ht="15.75" customHeight="1">
      <c r="B725" s="5"/>
      <c r="C725" s="5"/>
      <c r="D725" s="5"/>
      <c r="E725" s="5"/>
      <c r="F725" s="5"/>
    </row>
    <row r="726" spans="2:6" ht="15.75" customHeight="1">
      <c r="B726" s="5"/>
      <c r="C726" s="5"/>
      <c r="D726" s="5"/>
      <c r="E726" s="5"/>
      <c r="F726" s="5"/>
    </row>
    <row r="727" spans="2:6" ht="15.75" customHeight="1">
      <c r="B727" s="5"/>
      <c r="C727" s="5"/>
      <c r="D727" s="5"/>
      <c r="E727" s="5"/>
      <c r="F727" s="5"/>
    </row>
    <row r="728" spans="2:6" ht="15.75" customHeight="1">
      <c r="B728" s="5"/>
      <c r="C728" s="5"/>
      <c r="D728" s="5"/>
      <c r="E728" s="5"/>
      <c r="F728" s="5"/>
    </row>
    <row r="729" spans="2:6" ht="15.75" customHeight="1">
      <c r="B729" s="5"/>
      <c r="C729" s="5"/>
      <c r="D729" s="5"/>
      <c r="E729" s="5"/>
      <c r="F729" s="5"/>
    </row>
    <row r="730" spans="2:6" ht="15.75" customHeight="1">
      <c r="B730" s="5"/>
      <c r="C730" s="5"/>
      <c r="D730" s="5"/>
      <c r="E730" s="5"/>
      <c r="F730" s="5"/>
    </row>
    <row r="731" spans="2:6" ht="15.75" customHeight="1">
      <c r="B731" s="5"/>
      <c r="C731" s="5"/>
      <c r="D731" s="5"/>
      <c r="E731" s="5"/>
      <c r="F731" s="5"/>
    </row>
    <row r="732" spans="2:6" ht="15.75" customHeight="1">
      <c r="B732" s="5"/>
      <c r="C732" s="5"/>
      <c r="D732" s="5"/>
      <c r="E732" s="5"/>
      <c r="F732" s="5"/>
    </row>
    <row r="733" spans="2:6" ht="15.75" customHeight="1">
      <c r="B733" s="5"/>
      <c r="C733" s="5"/>
      <c r="D733" s="5"/>
      <c r="E733" s="5"/>
      <c r="F733" s="5"/>
    </row>
    <row r="734" spans="2:6" ht="15.75" customHeight="1">
      <c r="B734" s="5"/>
      <c r="C734" s="5"/>
      <c r="D734" s="5"/>
      <c r="E734" s="5"/>
      <c r="F734" s="5"/>
    </row>
    <row r="735" spans="2:6" ht="15.75" customHeight="1">
      <c r="B735" s="5"/>
      <c r="C735" s="5"/>
      <c r="D735" s="5"/>
      <c r="E735" s="5"/>
      <c r="F735" s="5"/>
    </row>
    <row r="736" spans="2:6" ht="15.75" customHeight="1">
      <c r="B736" s="5"/>
      <c r="C736" s="5"/>
      <c r="D736" s="5"/>
      <c r="E736" s="5"/>
      <c r="F736" s="5"/>
    </row>
    <row r="737" spans="2:6" ht="15.75" customHeight="1">
      <c r="B737" s="5"/>
      <c r="C737" s="5"/>
      <c r="D737" s="5"/>
      <c r="E737" s="5"/>
      <c r="F737" s="5"/>
    </row>
    <row r="738" spans="2:6" ht="15.75" customHeight="1">
      <c r="B738" s="5"/>
      <c r="C738" s="5"/>
      <c r="D738" s="5"/>
      <c r="E738" s="5"/>
      <c r="F738" s="5"/>
    </row>
    <row r="739" spans="2:6" ht="15.75" customHeight="1">
      <c r="B739" s="5"/>
      <c r="C739" s="5"/>
      <c r="D739" s="5"/>
      <c r="E739" s="5"/>
      <c r="F739" s="5"/>
    </row>
    <row r="740" spans="2:6" ht="15.75" customHeight="1">
      <c r="B740" s="5"/>
      <c r="C740" s="5"/>
      <c r="D740" s="5"/>
      <c r="E740" s="5"/>
      <c r="F740" s="5"/>
    </row>
    <row r="741" spans="2:6" ht="15.75" customHeight="1">
      <c r="B741" s="5"/>
      <c r="C741" s="5"/>
      <c r="D741" s="5"/>
      <c r="E741" s="5"/>
      <c r="F741" s="5"/>
    </row>
    <row r="742" spans="2:6" ht="15.75" customHeight="1">
      <c r="B742" s="5"/>
      <c r="C742" s="5"/>
      <c r="D742" s="5"/>
      <c r="E742" s="5"/>
      <c r="F742" s="5"/>
    </row>
    <row r="743" spans="2:6" ht="15.75" customHeight="1">
      <c r="B743" s="5"/>
      <c r="C743" s="5"/>
      <c r="D743" s="5"/>
      <c r="E743" s="5"/>
      <c r="F743" s="5"/>
    </row>
    <row r="744" spans="2:6" ht="15.75" customHeight="1">
      <c r="B744" s="5"/>
      <c r="C744" s="5"/>
      <c r="D744" s="5"/>
      <c r="E744" s="5"/>
      <c r="F744" s="5"/>
    </row>
    <row r="745" spans="2:6" ht="15.75" customHeight="1">
      <c r="B745" s="5"/>
      <c r="C745" s="5"/>
      <c r="D745" s="5"/>
      <c r="E745" s="5"/>
      <c r="F745" s="5"/>
    </row>
    <row r="746" spans="2:6" ht="15.75" customHeight="1">
      <c r="B746" s="5"/>
      <c r="C746" s="5"/>
      <c r="D746" s="5"/>
      <c r="E746" s="5"/>
      <c r="F746" s="5"/>
    </row>
    <row r="747" spans="2:6" ht="15.75" customHeight="1">
      <c r="B747" s="5"/>
      <c r="C747" s="5"/>
      <c r="D747" s="5"/>
      <c r="E747" s="5"/>
      <c r="F747" s="5"/>
    </row>
    <row r="748" spans="2:6" ht="15.75" customHeight="1">
      <c r="B748" s="5"/>
      <c r="C748" s="5"/>
      <c r="D748" s="5"/>
      <c r="E748" s="5"/>
      <c r="F748" s="5"/>
    </row>
    <row r="749" spans="2:6" ht="15.75" customHeight="1">
      <c r="B749" s="5"/>
      <c r="C749" s="5"/>
      <c r="D749" s="5"/>
      <c r="E749" s="5"/>
      <c r="F749" s="5"/>
    </row>
    <row r="750" spans="2:6" ht="15.75" customHeight="1">
      <c r="B750" s="5"/>
      <c r="C750" s="5"/>
      <c r="D750" s="5"/>
      <c r="E750" s="5"/>
      <c r="F750" s="5"/>
    </row>
    <row r="751" spans="2:6" ht="15.75" customHeight="1">
      <c r="B751" s="5"/>
      <c r="C751" s="5"/>
      <c r="D751" s="5"/>
      <c r="E751" s="5"/>
      <c r="F751" s="5"/>
    </row>
    <row r="752" spans="2:6" ht="15.75" customHeight="1">
      <c r="B752" s="5"/>
      <c r="C752" s="5"/>
      <c r="D752" s="5"/>
      <c r="E752" s="5"/>
      <c r="F752" s="5"/>
    </row>
    <row r="753" spans="2:6" ht="15.75" customHeight="1">
      <c r="B753" s="5"/>
      <c r="C753" s="5"/>
      <c r="D753" s="5"/>
      <c r="E753" s="5"/>
      <c r="F753" s="5"/>
    </row>
    <row r="754" spans="2:6" ht="15.75" customHeight="1">
      <c r="B754" s="5"/>
      <c r="C754" s="5"/>
      <c r="D754" s="5"/>
      <c r="E754" s="5"/>
      <c r="F754" s="5"/>
    </row>
    <row r="755" spans="2:6" ht="15.75" customHeight="1">
      <c r="B755" s="5"/>
      <c r="C755" s="5"/>
      <c r="D755" s="5"/>
      <c r="E755" s="5"/>
      <c r="F755" s="5"/>
    </row>
    <row r="756" spans="2:6" ht="15.75" customHeight="1">
      <c r="B756" s="5"/>
      <c r="C756" s="5"/>
      <c r="D756" s="5"/>
      <c r="E756" s="5"/>
      <c r="F756" s="5"/>
    </row>
    <row r="757" spans="2:6" ht="15.75" customHeight="1">
      <c r="B757" s="5"/>
      <c r="C757" s="5"/>
      <c r="D757" s="5"/>
      <c r="E757" s="5"/>
      <c r="F757" s="5"/>
    </row>
    <row r="758" spans="2:6" ht="15.75" customHeight="1">
      <c r="B758" s="5"/>
      <c r="C758" s="5"/>
      <c r="D758" s="5"/>
      <c r="E758" s="5"/>
      <c r="F758" s="5"/>
    </row>
    <row r="759" spans="2:6" ht="15.75" customHeight="1">
      <c r="B759" s="5"/>
      <c r="C759" s="5"/>
      <c r="D759" s="5"/>
      <c r="E759" s="5"/>
      <c r="F759" s="5"/>
    </row>
    <row r="760" spans="2:6" ht="15.75" customHeight="1">
      <c r="B760" s="5"/>
      <c r="C760" s="5"/>
      <c r="D760" s="5"/>
      <c r="E760" s="5"/>
      <c r="F760" s="5"/>
    </row>
    <row r="761" spans="2:6" ht="15.75" customHeight="1">
      <c r="B761" s="5"/>
      <c r="C761" s="5"/>
      <c r="D761" s="5"/>
      <c r="E761" s="5"/>
      <c r="F761" s="5"/>
    </row>
    <row r="762" spans="2:6" ht="15.75" customHeight="1">
      <c r="B762" s="5"/>
      <c r="C762" s="5"/>
      <c r="D762" s="5"/>
      <c r="E762" s="5"/>
      <c r="F762" s="5"/>
    </row>
    <row r="763" spans="2:6" ht="15.75" customHeight="1">
      <c r="B763" s="5"/>
      <c r="C763" s="5"/>
      <c r="D763" s="5"/>
      <c r="E763" s="5"/>
      <c r="F763" s="5"/>
    </row>
    <row r="764" spans="2:6" ht="15.75" customHeight="1">
      <c r="B764" s="5"/>
      <c r="C764" s="5"/>
      <c r="D764" s="5"/>
      <c r="E764" s="5"/>
      <c r="F764" s="5"/>
    </row>
    <row r="765" spans="2:6" ht="15.75" customHeight="1">
      <c r="B765" s="5"/>
      <c r="C765" s="5"/>
      <c r="D765" s="5"/>
      <c r="E765" s="5"/>
      <c r="F765" s="5"/>
    </row>
    <row r="766" spans="2:6" ht="15.75" customHeight="1">
      <c r="B766" s="5"/>
      <c r="C766" s="5"/>
      <c r="D766" s="5"/>
      <c r="E766" s="5"/>
      <c r="F766" s="5"/>
    </row>
    <row r="767" spans="2:6" ht="15.75" customHeight="1">
      <c r="B767" s="5"/>
      <c r="C767" s="5"/>
      <c r="D767" s="5"/>
      <c r="E767" s="5"/>
      <c r="F767" s="5"/>
    </row>
    <row r="768" spans="2:6" ht="15.75" customHeight="1">
      <c r="B768" s="5"/>
      <c r="C768" s="5"/>
      <c r="D768" s="5"/>
      <c r="E768" s="5"/>
      <c r="F768" s="5"/>
    </row>
    <row r="769" spans="2:6" ht="15.75" customHeight="1">
      <c r="B769" s="5"/>
      <c r="C769" s="5"/>
      <c r="D769" s="5"/>
      <c r="E769" s="5"/>
      <c r="F769" s="5"/>
    </row>
    <row r="770" spans="2:6" ht="15.75" customHeight="1">
      <c r="B770" s="5"/>
      <c r="C770" s="5"/>
      <c r="D770" s="5"/>
      <c r="E770" s="5"/>
      <c r="F770" s="5"/>
    </row>
    <row r="771" spans="2:6" ht="15.75" customHeight="1">
      <c r="B771" s="5"/>
      <c r="C771" s="5"/>
      <c r="D771" s="5"/>
      <c r="E771" s="5"/>
      <c r="F771" s="5"/>
    </row>
    <row r="772" spans="2:6" ht="15.75" customHeight="1">
      <c r="B772" s="5"/>
      <c r="C772" s="5"/>
      <c r="D772" s="5"/>
      <c r="E772" s="5"/>
      <c r="F772" s="5"/>
    </row>
    <row r="773" spans="2:6" ht="15.75" customHeight="1">
      <c r="B773" s="5"/>
      <c r="C773" s="5"/>
      <c r="D773" s="5"/>
      <c r="E773" s="5"/>
      <c r="F773" s="5"/>
    </row>
    <row r="774" spans="2:6" ht="15.75" customHeight="1">
      <c r="B774" s="5"/>
      <c r="C774" s="5"/>
      <c r="D774" s="5"/>
      <c r="E774" s="5"/>
      <c r="F774" s="5"/>
    </row>
    <row r="775" spans="2:6" ht="15.75" customHeight="1">
      <c r="B775" s="5"/>
      <c r="C775" s="5"/>
      <c r="D775" s="5"/>
      <c r="E775" s="5"/>
      <c r="F775" s="5"/>
    </row>
    <row r="776" spans="2:6" ht="15.75" customHeight="1">
      <c r="B776" s="5"/>
      <c r="C776" s="5"/>
      <c r="D776" s="5"/>
      <c r="E776" s="5"/>
      <c r="F776" s="5"/>
    </row>
    <row r="777" spans="2:6" ht="15.75" customHeight="1">
      <c r="B777" s="5"/>
      <c r="C777" s="5"/>
      <c r="D777" s="5"/>
      <c r="E777" s="5"/>
      <c r="F777" s="5"/>
    </row>
    <row r="778" spans="2:6" ht="15.75" customHeight="1">
      <c r="B778" s="5"/>
      <c r="C778" s="5"/>
      <c r="D778" s="5"/>
      <c r="E778" s="5"/>
      <c r="F778" s="5"/>
    </row>
    <row r="779" spans="2:6" ht="15.75" customHeight="1">
      <c r="B779" s="5"/>
      <c r="C779" s="5"/>
      <c r="D779" s="5"/>
      <c r="E779" s="5"/>
      <c r="F779" s="5"/>
    </row>
    <row r="780" spans="2:6" ht="15.75" customHeight="1">
      <c r="B780" s="5"/>
      <c r="C780" s="5"/>
      <c r="D780" s="5"/>
      <c r="E780" s="5"/>
      <c r="F780" s="5"/>
    </row>
    <row r="781" spans="2:6" ht="15.75" customHeight="1">
      <c r="B781" s="5"/>
      <c r="C781" s="5"/>
      <c r="D781" s="5"/>
      <c r="E781" s="5"/>
      <c r="F781" s="5"/>
    </row>
    <row r="782" spans="2:6" ht="15.75" customHeight="1">
      <c r="B782" s="5"/>
      <c r="C782" s="5"/>
      <c r="D782" s="5"/>
      <c r="E782" s="5"/>
      <c r="F782" s="5"/>
    </row>
    <row r="783" spans="2:6" ht="15.75" customHeight="1">
      <c r="B783" s="5"/>
      <c r="C783" s="5"/>
      <c r="D783" s="5"/>
      <c r="E783" s="5"/>
      <c r="F783" s="5"/>
    </row>
    <row r="784" spans="2:6" ht="15.75" customHeight="1">
      <c r="B784" s="5"/>
      <c r="C784" s="5"/>
      <c r="D784" s="5"/>
      <c r="E784" s="5"/>
      <c r="F784" s="5"/>
    </row>
    <row r="785" spans="2:6" ht="15.75" customHeight="1">
      <c r="B785" s="5"/>
      <c r="C785" s="5"/>
      <c r="D785" s="5"/>
      <c r="E785" s="5"/>
      <c r="F785" s="5"/>
    </row>
    <row r="786" spans="2:6" ht="15.75" customHeight="1">
      <c r="B786" s="5"/>
      <c r="C786" s="5"/>
      <c r="D786" s="5"/>
      <c r="E786" s="5"/>
      <c r="F786" s="5"/>
    </row>
    <row r="787" spans="2:6" ht="15.75" customHeight="1">
      <c r="B787" s="5"/>
      <c r="C787" s="5"/>
      <c r="D787" s="5"/>
      <c r="E787" s="5"/>
      <c r="F787" s="5"/>
    </row>
    <row r="788" spans="2:6" ht="15.75" customHeight="1">
      <c r="B788" s="5"/>
      <c r="C788" s="5"/>
      <c r="D788" s="5"/>
      <c r="E788" s="5"/>
      <c r="F788" s="5"/>
    </row>
    <row r="789" spans="2:6" ht="15.75" customHeight="1">
      <c r="B789" s="5"/>
      <c r="C789" s="5"/>
      <c r="D789" s="5"/>
      <c r="E789" s="5"/>
      <c r="F789" s="5"/>
    </row>
    <row r="790" spans="2:6" ht="15.75" customHeight="1">
      <c r="B790" s="5"/>
      <c r="C790" s="5"/>
      <c r="D790" s="5"/>
      <c r="E790" s="5"/>
      <c r="F790" s="5"/>
    </row>
    <row r="791" spans="2:6" ht="15.75" customHeight="1">
      <c r="B791" s="5"/>
      <c r="C791" s="5"/>
      <c r="D791" s="5"/>
      <c r="E791" s="5"/>
      <c r="F791" s="5"/>
    </row>
    <row r="792" spans="2:6" ht="15.75" customHeight="1">
      <c r="B792" s="5"/>
      <c r="C792" s="5"/>
      <c r="D792" s="5"/>
      <c r="E792" s="5"/>
      <c r="F792" s="5"/>
    </row>
    <row r="793" spans="2:6" ht="15.75" customHeight="1">
      <c r="B793" s="5"/>
      <c r="C793" s="5"/>
      <c r="D793" s="5"/>
      <c r="E793" s="5"/>
      <c r="F793" s="5"/>
    </row>
    <row r="794" spans="2:6" ht="15.75" customHeight="1">
      <c r="B794" s="5"/>
      <c r="C794" s="5"/>
      <c r="D794" s="5"/>
      <c r="E794" s="5"/>
      <c r="F794" s="5"/>
    </row>
    <row r="795" spans="2:6" ht="15.75" customHeight="1">
      <c r="B795" s="5"/>
      <c r="C795" s="5"/>
      <c r="D795" s="5"/>
      <c r="E795" s="5"/>
      <c r="F795" s="5"/>
    </row>
    <row r="796" spans="2:6" ht="15.75" customHeight="1">
      <c r="B796" s="5"/>
      <c r="C796" s="5"/>
      <c r="D796" s="5"/>
      <c r="E796" s="5"/>
      <c r="F796" s="5"/>
    </row>
    <row r="797" spans="2:6" ht="15.75" customHeight="1">
      <c r="B797" s="5"/>
      <c r="C797" s="5"/>
      <c r="D797" s="5"/>
      <c r="E797" s="5"/>
      <c r="F797" s="5"/>
    </row>
    <row r="798" spans="2:6" ht="15.75" customHeight="1">
      <c r="B798" s="5"/>
      <c r="C798" s="5"/>
      <c r="D798" s="5"/>
      <c r="E798" s="5"/>
      <c r="F798" s="5"/>
    </row>
    <row r="799" spans="2:6" ht="15.75" customHeight="1">
      <c r="B799" s="5"/>
      <c r="C799" s="5"/>
      <c r="D799" s="5"/>
      <c r="E799" s="5"/>
      <c r="F799" s="5"/>
    </row>
    <row r="800" spans="2:6" ht="15.75" customHeight="1">
      <c r="B800" s="5"/>
      <c r="C800" s="5"/>
      <c r="D800" s="5"/>
      <c r="E800" s="5"/>
      <c r="F800" s="5"/>
    </row>
    <row r="801" spans="2:6" ht="15.75" customHeight="1">
      <c r="B801" s="5"/>
      <c r="C801" s="5"/>
      <c r="D801" s="5"/>
      <c r="E801" s="5"/>
      <c r="F801" s="5"/>
    </row>
    <row r="802" spans="2:6" ht="15.75" customHeight="1">
      <c r="B802" s="5"/>
      <c r="C802" s="5"/>
      <c r="D802" s="5"/>
      <c r="E802" s="5"/>
      <c r="F802" s="5"/>
    </row>
    <row r="803" spans="2:6" ht="15.75" customHeight="1">
      <c r="B803" s="5"/>
      <c r="C803" s="5"/>
      <c r="D803" s="5"/>
      <c r="E803" s="5"/>
      <c r="F803" s="5"/>
    </row>
    <row r="804" spans="2:6" ht="15.75" customHeight="1">
      <c r="B804" s="5"/>
      <c r="C804" s="5"/>
      <c r="D804" s="5"/>
      <c r="E804" s="5"/>
      <c r="F804" s="5"/>
    </row>
    <row r="805" spans="2:6" ht="15.75" customHeight="1">
      <c r="B805" s="5"/>
      <c r="C805" s="5"/>
      <c r="D805" s="5"/>
      <c r="E805" s="5"/>
      <c r="F805" s="5"/>
    </row>
    <row r="806" spans="2:6" ht="15.75" customHeight="1">
      <c r="B806" s="5"/>
      <c r="C806" s="5"/>
      <c r="D806" s="5"/>
      <c r="E806" s="5"/>
      <c r="F806" s="5"/>
    </row>
    <row r="807" spans="2:6" ht="15.75" customHeight="1">
      <c r="B807" s="5"/>
      <c r="C807" s="5"/>
      <c r="D807" s="5"/>
      <c r="E807" s="5"/>
      <c r="F807" s="5"/>
    </row>
    <row r="808" spans="2:6" ht="15.75" customHeight="1">
      <c r="B808" s="5"/>
      <c r="C808" s="5"/>
      <c r="D808" s="5"/>
      <c r="E808" s="5"/>
      <c r="F808" s="5"/>
    </row>
    <row r="809" spans="2:6" ht="15.75" customHeight="1">
      <c r="B809" s="5"/>
      <c r="C809" s="5"/>
      <c r="D809" s="5"/>
      <c r="E809" s="5"/>
      <c r="F809" s="5"/>
    </row>
    <row r="810" spans="2:6" ht="15.75" customHeight="1">
      <c r="B810" s="5"/>
      <c r="C810" s="5"/>
      <c r="D810" s="5"/>
      <c r="E810" s="5"/>
      <c r="F810" s="5"/>
    </row>
    <row r="811" spans="2:6" ht="15.75" customHeight="1">
      <c r="B811" s="5"/>
      <c r="C811" s="5"/>
      <c r="D811" s="5"/>
      <c r="E811" s="5"/>
      <c r="F811" s="5"/>
    </row>
    <row r="812" spans="2:6" ht="15.75" customHeight="1">
      <c r="B812" s="5"/>
      <c r="C812" s="5"/>
      <c r="D812" s="5"/>
      <c r="E812" s="5"/>
      <c r="F812" s="5"/>
    </row>
    <row r="813" spans="2:6" ht="15.75" customHeight="1">
      <c r="B813" s="5"/>
      <c r="C813" s="5"/>
      <c r="D813" s="5"/>
      <c r="E813" s="5"/>
      <c r="F813" s="5"/>
    </row>
    <row r="814" spans="2:6" ht="15.75" customHeight="1">
      <c r="B814" s="5"/>
      <c r="C814" s="5"/>
      <c r="D814" s="5"/>
      <c r="E814" s="5"/>
      <c r="F814" s="5"/>
    </row>
    <row r="815" spans="2:6" ht="15.75" customHeight="1">
      <c r="B815" s="5"/>
      <c r="C815" s="5"/>
      <c r="D815" s="5"/>
      <c r="E815" s="5"/>
      <c r="F815" s="5"/>
    </row>
    <row r="816" spans="2:6" ht="15.75" customHeight="1">
      <c r="B816" s="5"/>
      <c r="C816" s="5"/>
      <c r="D816" s="5"/>
      <c r="E816" s="5"/>
      <c r="F816" s="5"/>
    </row>
    <row r="817" spans="2:6" ht="15.75" customHeight="1">
      <c r="B817" s="5"/>
      <c r="C817" s="5"/>
      <c r="D817" s="5"/>
      <c r="E817" s="5"/>
      <c r="F817" s="5"/>
    </row>
    <row r="818" spans="2:6" ht="15.75" customHeight="1">
      <c r="B818" s="5"/>
      <c r="C818" s="5"/>
      <c r="D818" s="5"/>
      <c r="E818" s="5"/>
      <c r="F818" s="5"/>
    </row>
    <row r="819" spans="2:6" ht="15.75" customHeight="1">
      <c r="B819" s="5"/>
      <c r="C819" s="5"/>
      <c r="D819" s="5"/>
      <c r="E819" s="5"/>
      <c r="F819" s="5"/>
    </row>
    <row r="820" spans="2:6" ht="15.75" customHeight="1">
      <c r="B820" s="5"/>
      <c r="C820" s="5"/>
      <c r="D820" s="5"/>
      <c r="E820" s="5"/>
      <c r="F820" s="5"/>
    </row>
    <row r="821" spans="2:6" ht="15.75" customHeight="1">
      <c r="B821" s="5"/>
      <c r="C821" s="5"/>
      <c r="D821" s="5"/>
      <c r="E821" s="5"/>
      <c r="F821" s="5"/>
    </row>
    <row r="822" spans="2:6" ht="15.75" customHeight="1">
      <c r="B822" s="5"/>
      <c r="C822" s="5"/>
      <c r="D822" s="5"/>
      <c r="E822" s="5"/>
      <c r="F822" s="5"/>
    </row>
    <row r="823" spans="2:6" ht="15.75" customHeight="1">
      <c r="B823" s="5"/>
      <c r="C823" s="5"/>
      <c r="D823" s="5"/>
      <c r="E823" s="5"/>
      <c r="F823" s="5"/>
    </row>
    <row r="824" spans="2:6" ht="15.75" customHeight="1">
      <c r="B824" s="5"/>
      <c r="C824" s="5"/>
      <c r="D824" s="5"/>
      <c r="E824" s="5"/>
      <c r="F824" s="5"/>
    </row>
    <row r="825" spans="2:6" ht="15.75" customHeight="1">
      <c r="B825" s="5"/>
      <c r="C825" s="5"/>
      <c r="D825" s="5"/>
      <c r="E825" s="5"/>
      <c r="F825" s="5"/>
    </row>
    <row r="826" spans="2:6" ht="15.75" customHeight="1">
      <c r="B826" s="5"/>
      <c r="C826" s="5"/>
      <c r="D826" s="5"/>
      <c r="E826" s="5"/>
      <c r="F826" s="5"/>
    </row>
    <row r="827" spans="2:6" ht="15.75" customHeight="1">
      <c r="B827" s="5"/>
      <c r="C827" s="5"/>
      <c r="D827" s="5"/>
      <c r="E827" s="5"/>
      <c r="F827" s="5"/>
    </row>
    <row r="828" spans="2:6" ht="15.75" customHeight="1">
      <c r="B828" s="5"/>
      <c r="C828" s="5"/>
      <c r="D828" s="5"/>
      <c r="E828" s="5"/>
      <c r="F828" s="5"/>
    </row>
    <row r="829" spans="2:6" ht="15.75" customHeight="1">
      <c r="B829" s="5"/>
      <c r="C829" s="5"/>
      <c r="D829" s="5"/>
      <c r="E829" s="5"/>
      <c r="F829" s="5"/>
    </row>
    <row r="830" spans="2:6" ht="15.75" customHeight="1">
      <c r="B830" s="5"/>
      <c r="C830" s="5"/>
      <c r="D830" s="5"/>
      <c r="E830" s="5"/>
      <c r="F830" s="5"/>
    </row>
    <row r="831" spans="2:6" ht="15.75" customHeight="1">
      <c r="B831" s="5"/>
      <c r="C831" s="5"/>
      <c r="D831" s="5"/>
      <c r="E831" s="5"/>
      <c r="F831" s="5"/>
    </row>
    <row r="832" spans="2:6" ht="15.75" customHeight="1">
      <c r="B832" s="5"/>
      <c r="C832" s="5"/>
      <c r="D832" s="5"/>
      <c r="E832" s="5"/>
      <c r="F832" s="5"/>
    </row>
    <row r="833" spans="2:6" ht="15.75" customHeight="1">
      <c r="B833" s="5"/>
      <c r="C833" s="5"/>
      <c r="D833" s="5"/>
      <c r="E833" s="5"/>
      <c r="F833" s="5"/>
    </row>
    <row r="834" spans="2:6" ht="15.75" customHeight="1">
      <c r="B834" s="5"/>
      <c r="C834" s="5"/>
      <c r="D834" s="5"/>
      <c r="E834" s="5"/>
      <c r="F834" s="5"/>
    </row>
    <row r="835" spans="2:6" ht="15.75" customHeight="1">
      <c r="B835" s="5"/>
      <c r="C835" s="5"/>
      <c r="D835" s="5"/>
      <c r="E835" s="5"/>
      <c r="F835" s="5"/>
    </row>
    <row r="836" spans="2:6" ht="15.75" customHeight="1">
      <c r="B836" s="5"/>
      <c r="C836" s="5"/>
      <c r="D836" s="5"/>
      <c r="E836" s="5"/>
      <c r="F836" s="5"/>
    </row>
    <row r="837" spans="2:6" ht="15.75" customHeight="1">
      <c r="B837" s="5"/>
      <c r="C837" s="5"/>
      <c r="D837" s="5"/>
      <c r="E837" s="5"/>
      <c r="F837" s="5"/>
    </row>
    <row r="838" spans="2:6" ht="15.75" customHeight="1">
      <c r="B838" s="5"/>
      <c r="C838" s="5"/>
      <c r="D838" s="5"/>
      <c r="E838" s="5"/>
      <c r="F838" s="5"/>
    </row>
    <row r="839" spans="2:6" ht="15.75" customHeight="1">
      <c r="B839" s="5"/>
      <c r="C839" s="5"/>
      <c r="D839" s="5"/>
      <c r="E839" s="5"/>
      <c r="F839" s="5"/>
    </row>
    <row r="840" spans="2:6" ht="15.75" customHeight="1">
      <c r="B840" s="5"/>
      <c r="C840" s="5"/>
      <c r="D840" s="5"/>
      <c r="E840" s="5"/>
      <c r="F840" s="5"/>
    </row>
    <row r="841" spans="2:6" ht="15.75" customHeight="1">
      <c r="B841" s="5"/>
      <c r="C841" s="5"/>
      <c r="D841" s="5"/>
      <c r="E841" s="5"/>
      <c r="F841" s="5"/>
    </row>
    <row r="842" spans="2:6" ht="15.75" customHeight="1">
      <c r="B842" s="5"/>
      <c r="C842" s="5"/>
      <c r="D842" s="5"/>
      <c r="E842" s="5"/>
      <c r="F842" s="5"/>
    </row>
    <row r="843" spans="2:6" ht="15.75" customHeight="1">
      <c r="B843" s="5"/>
      <c r="C843" s="5"/>
      <c r="D843" s="5"/>
      <c r="E843" s="5"/>
      <c r="F843" s="5"/>
    </row>
    <row r="844" spans="2:6" ht="15.75" customHeight="1">
      <c r="B844" s="5"/>
      <c r="C844" s="5"/>
      <c r="D844" s="5"/>
      <c r="E844" s="5"/>
      <c r="F844" s="5"/>
    </row>
    <row r="845" spans="2:6" ht="15.75" customHeight="1">
      <c r="B845" s="5"/>
      <c r="C845" s="5"/>
      <c r="D845" s="5"/>
      <c r="E845" s="5"/>
      <c r="F845" s="5"/>
    </row>
    <row r="846" spans="2:6" ht="15.75" customHeight="1">
      <c r="B846" s="5"/>
      <c r="C846" s="5"/>
      <c r="D846" s="5"/>
      <c r="E846" s="5"/>
      <c r="F846" s="5"/>
    </row>
    <row r="847" spans="2:6" ht="15.75" customHeight="1">
      <c r="B847" s="5"/>
      <c r="C847" s="5"/>
      <c r="D847" s="5"/>
      <c r="E847" s="5"/>
      <c r="F847" s="5"/>
    </row>
    <row r="848" spans="2:6" ht="15.75" customHeight="1">
      <c r="B848" s="5"/>
      <c r="C848" s="5"/>
      <c r="D848" s="5"/>
      <c r="E848" s="5"/>
      <c r="F848" s="5"/>
    </row>
    <row r="849" spans="2:6" ht="15.75" customHeight="1">
      <c r="B849" s="5"/>
      <c r="C849" s="5"/>
      <c r="D849" s="5"/>
      <c r="E849" s="5"/>
      <c r="F849" s="5"/>
    </row>
    <row r="850" spans="2:6" ht="15.75" customHeight="1">
      <c r="B850" s="5"/>
      <c r="C850" s="5"/>
      <c r="D850" s="5"/>
      <c r="E850" s="5"/>
      <c r="F850" s="5"/>
    </row>
    <row r="851" spans="2:6" ht="15.75" customHeight="1">
      <c r="B851" s="5"/>
      <c r="C851" s="5"/>
      <c r="D851" s="5"/>
      <c r="E851" s="5"/>
      <c r="F851" s="5"/>
    </row>
    <row r="852" spans="2:6" ht="15.75" customHeight="1">
      <c r="B852" s="5"/>
      <c r="C852" s="5"/>
      <c r="D852" s="5"/>
      <c r="E852" s="5"/>
      <c r="F852" s="5"/>
    </row>
    <row r="853" spans="2:6" ht="15.75" customHeight="1">
      <c r="B853" s="5"/>
      <c r="C853" s="5"/>
      <c r="D853" s="5"/>
      <c r="E853" s="5"/>
      <c r="F853" s="5"/>
    </row>
    <row r="854" spans="2:6" ht="15.75" customHeight="1">
      <c r="B854" s="5"/>
      <c r="C854" s="5"/>
      <c r="D854" s="5"/>
      <c r="E854" s="5"/>
      <c r="F854" s="5"/>
    </row>
    <row r="855" spans="2:6" ht="15.75" customHeight="1">
      <c r="B855" s="5"/>
      <c r="C855" s="5"/>
      <c r="D855" s="5"/>
      <c r="E855" s="5"/>
      <c r="F855" s="5"/>
    </row>
    <row r="856" spans="2:6" ht="15.75" customHeight="1">
      <c r="B856" s="5"/>
      <c r="C856" s="5"/>
      <c r="D856" s="5"/>
      <c r="E856" s="5"/>
      <c r="F856" s="5"/>
    </row>
    <row r="857" spans="2:6" ht="15.75" customHeight="1">
      <c r="B857" s="5"/>
      <c r="C857" s="5"/>
      <c r="D857" s="5"/>
      <c r="E857" s="5"/>
      <c r="F857" s="5"/>
    </row>
    <row r="858" spans="2:6" ht="15.75" customHeight="1">
      <c r="B858" s="5"/>
      <c r="C858" s="5"/>
      <c r="D858" s="5"/>
      <c r="E858" s="5"/>
      <c r="F858" s="5"/>
    </row>
    <row r="859" spans="2:6" ht="15.75" customHeight="1">
      <c r="B859" s="5"/>
      <c r="C859" s="5"/>
      <c r="D859" s="5"/>
      <c r="E859" s="5"/>
      <c r="F859" s="5"/>
    </row>
    <row r="860" spans="2:6" ht="15.75" customHeight="1">
      <c r="B860" s="5"/>
      <c r="C860" s="5"/>
      <c r="D860" s="5"/>
      <c r="E860" s="5"/>
      <c r="F860" s="5"/>
    </row>
    <row r="861" spans="2:6" ht="15.75" customHeight="1">
      <c r="B861" s="5"/>
      <c r="C861" s="5"/>
      <c r="D861" s="5"/>
      <c r="E861" s="5"/>
      <c r="F861" s="5"/>
    </row>
    <row r="862" spans="2:6" ht="15.75" customHeight="1">
      <c r="B862" s="5"/>
      <c r="C862" s="5"/>
      <c r="D862" s="5"/>
      <c r="E862" s="5"/>
      <c r="F862" s="5"/>
    </row>
    <row r="863" spans="2:6" ht="15.75" customHeight="1">
      <c r="B863" s="5"/>
      <c r="C863" s="5"/>
      <c r="D863" s="5"/>
      <c r="E863" s="5"/>
      <c r="F863" s="5"/>
    </row>
    <row r="864" spans="2:6" ht="15.75" customHeight="1">
      <c r="B864" s="5"/>
      <c r="C864" s="5"/>
      <c r="D864" s="5"/>
      <c r="E864" s="5"/>
      <c r="F864" s="5"/>
    </row>
    <row r="865" spans="2:6" ht="15.75" customHeight="1">
      <c r="B865" s="5"/>
      <c r="C865" s="5"/>
      <c r="D865" s="5"/>
      <c r="E865" s="5"/>
      <c r="F865" s="5"/>
    </row>
    <row r="866" spans="2:6" ht="15.75" customHeight="1">
      <c r="B866" s="5"/>
      <c r="C866" s="5"/>
      <c r="D866" s="5"/>
      <c r="E866" s="5"/>
      <c r="F866" s="5"/>
    </row>
    <row r="867" spans="2:6" ht="15.75" customHeight="1">
      <c r="B867" s="5"/>
      <c r="C867" s="5"/>
      <c r="D867" s="5"/>
      <c r="E867" s="5"/>
      <c r="F867" s="5"/>
    </row>
    <row r="868" spans="2:6" ht="15.75" customHeight="1">
      <c r="B868" s="5"/>
      <c r="C868" s="5"/>
      <c r="D868" s="5"/>
      <c r="E868" s="5"/>
      <c r="F868" s="5"/>
    </row>
    <row r="869" spans="2:6" ht="15.75" customHeight="1">
      <c r="B869" s="5"/>
      <c r="C869" s="5"/>
      <c r="D869" s="5"/>
      <c r="E869" s="5"/>
      <c r="F869" s="5"/>
    </row>
    <row r="870" spans="2:6" ht="15.75" customHeight="1">
      <c r="B870" s="5"/>
      <c r="C870" s="5"/>
      <c r="D870" s="5"/>
      <c r="E870" s="5"/>
      <c r="F870" s="5"/>
    </row>
    <row r="871" spans="2:6" ht="15.75" customHeight="1">
      <c r="B871" s="5"/>
      <c r="C871" s="5"/>
      <c r="D871" s="5"/>
      <c r="E871" s="5"/>
      <c r="F871" s="5"/>
    </row>
    <row r="872" spans="2:6" ht="15.75" customHeight="1">
      <c r="B872" s="5"/>
      <c r="C872" s="5"/>
      <c r="D872" s="5"/>
      <c r="E872" s="5"/>
      <c r="F872" s="5"/>
    </row>
    <row r="873" spans="2:6" ht="15.75" customHeight="1">
      <c r="B873" s="5"/>
      <c r="C873" s="5"/>
      <c r="D873" s="5"/>
      <c r="E873" s="5"/>
      <c r="F873" s="5"/>
    </row>
    <row r="874" spans="2:6" ht="15.75" customHeight="1">
      <c r="B874" s="5"/>
      <c r="C874" s="5"/>
      <c r="D874" s="5"/>
      <c r="E874" s="5"/>
      <c r="F874" s="5"/>
    </row>
    <row r="875" spans="2:6" ht="15.75" customHeight="1">
      <c r="B875" s="5"/>
      <c r="C875" s="5"/>
      <c r="D875" s="5"/>
      <c r="E875" s="5"/>
      <c r="F875" s="5"/>
    </row>
    <row r="876" spans="2:6" ht="15.75" customHeight="1">
      <c r="B876" s="5"/>
      <c r="C876" s="5"/>
      <c r="D876" s="5"/>
      <c r="E876" s="5"/>
      <c r="F876" s="5"/>
    </row>
    <row r="877" spans="2:6" ht="15.75" customHeight="1">
      <c r="B877" s="5"/>
      <c r="C877" s="5"/>
      <c r="D877" s="5"/>
      <c r="E877" s="5"/>
      <c r="F877" s="5"/>
    </row>
    <row r="878" spans="2:6" ht="15.75" customHeight="1">
      <c r="B878" s="5"/>
      <c r="C878" s="5"/>
      <c r="D878" s="5"/>
      <c r="E878" s="5"/>
      <c r="F878" s="5"/>
    </row>
    <row r="879" spans="2:6" ht="15.75" customHeight="1">
      <c r="B879" s="5"/>
      <c r="C879" s="5"/>
      <c r="D879" s="5"/>
      <c r="E879" s="5"/>
      <c r="F879" s="5"/>
    </row>
    <row r="880" spans="2:6" ht="15.75" customHeight="1">
      <c r="B880" s="5"/>
      <c r="C880" s="5"/>
      <c r="D880" s="5"/>
      <c r="E880" s="5"/>
      <c r="F880" s="5"/>
    </row>
    <row r="881" spans="2:6" ht="15.75" customHeight="1">
      <c r="B881" s="5"/>
      <c r="C881" s="5"/>
      <c r="D881" s="5"/>
      <c r="E881" s="5"/>
      <c r="F881" s="5"/>
    </row>
    <row r="882" spans="2:6" ht="15.75" customHeight="1">
      <c r="B882" s="5"/>
      <c r="C882" s="5"/>
      <c r="D882" s="5"/>
      <c r="E882" s="5"/>
      <c r="F882" s="5"/>
    </row>
    <row r="883" spans="2:6" ht="15.75" customHeight="1">
      <c r="B883" s="5"/>
      <c r="C883" s="5"/>
      <c r="D883" s="5"/>
      <c r="E883" s="5"/>
      <c r="F883" s="5"/>
    </row>
    <row r="884" spans="2:6" ht="15.75" customHeight="1">
      <c r="B884" s="5"/>
      <c r="C884" s="5"/>
      <c r="D884" s="5"/>
      <c r="E884" s="5"/>
      <c r="F884" s="5"/>
    </row>
    <row r="885" spans="2:6" ht="15.75" customHeight="1">
      <c r="B885" s="5"/>
      <c r="C885" s="5"/>
      <c r="D885" s="5"/>
      <c r="E885" s="5"/>
      <c r="F885" s="5"/>
    </row>
    <row r="886" spans="2:6" ht="15.75" customHeight="1">
      <c r="B886" s="5"/>
      <c r="C886" s="5"/>
      <c r="D886" s="5"/>
      <c r="E886" s="5"/>
      <c r="F886" s="5"/>
    </row>
    <row r="887" spans="2:6" ht="15.75" customHeight="1">
      <c r="B887" s="5"/>
      <c r="C887" s="5"/>
      <c r="D887" s="5"/>
      <c r="E887" s="5"/>
      <c r="F887" s="5"/>
    </row>
    <row r="888" spans="2:6" ht="15.75" customHeight="1">
      <c r="B888" s="5"/>
      <c r="C888" s="5"/>
      <c r="D888" s="5"/>
      <c r="E888" s="5"/>
      <c r="F888" s="5"/>
    </row>
    <row r="889" spans="2:6" ht="15.75" customHeight="1">
      <c r="B889" s="5"/>
      <c r="C889" s="5"/>
      <c r="D889" s="5"/>
      <c r="E889" s="5"/>
      <c r="F889" s="5"/>
    </row>
    <row r="890" spans="2:6" ht="15.75" customHeight="1">
      <c r="B890" s="5"/>
      <c r="C890" s="5"/>
      <c r="D890" s="5"/>
      <c r="E890" s="5"/>
      <c r="F890" s="5"/>
    </row>
    <row r="891" spans="2:6" ht="15.75" customHeight="1">
      <c r="B891" s="5"/>
      <c r="C891" s="5"/>
      <c r="D891" s="5"/>
      <c r="E891" s="5"/>
      <c r="F891" s="5"/>
    </row>
    <row r="892" spans="2:6" ht="15.75" customHeight="1">
      <c r="B892" s="5"/>
      <c r="C892" s="5"/>
      <c r="D892" s="5"/>
      <c r="E892" s="5"/>
      <c r="F892" s="5"/>
    </row>
    <row r="893" spans="2:6" ht="15.75" customHeight="1">
      <c r="B893" s="5"/>
      <c r="C893" s="5"/>
      <c r="D893" s="5"/>
      <c r="E893" s="5"/>
      <c r="F893" s="5"/>
    </row>
    <row r="894" spans="2:6" ht="15.75" customHeight="1">
      <c r="B894" s="5"/>
      <c r="C894" s="5"/>
      <c r="D894" s="5"/>
      <c r="E894" s="5"/>
      <c r="F894" s="5"/>
    </row>
    <row r="895" spans="2:6" ht="15.75" customHeight="1">
      <c r="B895" s="5"/>
      <c r="C895" s="5"/>
      <c r="D895" s="5"/>
      <c r="E895" s="5"/>
      <c r="F895" s="5"/>
    </row>
    <row r="896" spans="2:6" ht="15.75" customHeight="1">
      <c r="B896" s="5"/>
      <c r="C896" s="5"/>
      <c r="D896" s="5"/>
      <c r="E896" s="5"/>
      <c r="F896" s="5"/>
    </row>
    <row r="897" spans="2:6" ht="15.75" customHeight="1">
      <c r="B897" s="5"/>
      <c r="C897" s="5"/>
      <c r="D897" s="5"/>
      <c r="E897" s="5"/>
      <c r="F897" s="5"/>
    </row>
    <row r="898" spans="2:6" ht="15.75" customHeight="1">
      <c r="B898" s="5"/>
      <c r="C898" s="5"/>
      <c r="D898" s="5"/>
      <c r="E898" s="5"/>
      <c r="F898" s="5"/>
    </row>
    <row r="899" spans="2:6" ht="15.75" customHeight="1">
      <c r="B899" s="5"/>
      <c r="C899" s="5"/>
      <c r="D899" s="5"/>
      <c r="E899" s="5"/>
      <c r="F899" s="5"/>
    </row>
    <row r="900" spans="2:6" ht="15.75" customHeight="1">
      <c r="B900" s="5"/>
      <c r="C900" s="5"/>
      <c r="D900" s="5"/>
      <c r="E900" s="5"/>
      <c r="F900" s="5"/>
    </row>
    <row r="901" spans="2:6" ht="15.75" customHeight="1">
      <c r="B901" s="5"/>
      <c r="C901" s="5"/>
      <c r="D901" s="5"/>
      <c r="E901" s="5"/>
      <c r="F901" s="5"/>
    </row>
    <row r="902" spans="2:6" ht="15.75" customHeight="1">
      <c r="B902" s="5"/>
      <c r="C902" s="5"/>
      <c r="D902" s="5"/>
      <c r="E902" s="5"/>
      <c r="F902" s="5"/>
    </row>
    <row r="903" spans="2:6" ht="15.75" customHeight="1">
      <c r="B903" s="5"/>
      <c r="C903" s="5"/>
      <c r="D903" s="5"/>
      <c r="E903" s="5"/>
      <c r="F903" s="5"/>
    </row>
    <row r="904" spans="2:6" ht="15.75" customHeight="1">
      <c r="B904" s="5"/>
      <c r="C904" s="5"/>
      <c r="D904" s="5"/>
      <c r="E904" s="5"/>
      <c r="F904" s="5"/>
    </row>
    <row r="905" spans="2:6" ht="15.75" customHeight="1">
      <c r="B905" s="5"/>
      <c r="C905" s="5"/>
      <c r="D905" s="5"/>
      <c r="E905" s="5"/>
      <c r="F905" s="5"/>
    </row>
    <row r="906" spans="2:6" ht="15.75" customHeight="1">
      <c r="B906" s="5"/>
      <c r="C906" s="5"/>
      <c r="D906" s="5"/>
      <c r="E906" s="5"/>
      <c r="F906" s="5"/>
    </row>
    <row r="907" spans="2:6" ht="15.75" customHeight="1">
      <c r="B907" s="5"/>
      <c r="C907" s="5"/>
      <c r="D907" s="5"/>
      <c r="E907" s="5"/>
      <c r="F907" s="5"/>
    </row>
    <row r="908" spans="2:6" ht="15.75" customHeight="1">
      <c r="B908" s="5"/>
      <c r="C908" s="5"/>
      <c r="D908" s="5"/>
      <c r="E908" s="5"/>
      <c r="F908" s="5"/>
    </row>
    <row r="909" spans="2:6" ht="15.75" customHeight="1">
      <c r="B909" s="5"/>
      <c r="C909" s="5"/>
      <c r="D909" s="5"/>
      <c r="E909" s="5"/>
      <c r="F909" s="5"/>
    </row>
    <row r="910" spans="2:6" ht="15.75" customHeight="1">
      <c r="B910" s="5"/>
      <c r="C910" s="5"/>
      <c r="D910" s="5"/>
      <c r="E910" s="5"/>
      <c r="F910" s="5"/>
    </row>
    <row r="911" spans="2:6" ht="15.75" customHeight="1">
      <c r="B911" s="5"/>
      <c r="C911" s="5"/>
      <c r="D911" s="5"/>
      <c r="E911" s="5"/>
      <c r="F911" s="5"/>
    </row>
    <row r="912" spans="2:6" ht="15.75" customHeight="1">
      <c r="B912" s="5"/>
      <c r="C912" s="5"/>
      <c r="D912" s="5"/>
      <c r="E912" s="5"/>
      <c r="F912" s="5"/>
    </row>
    <row r="913" spans="2:6" ht="15.75" customHeight="1">
      <c r="B913" s="5"/>
      <c r="C913" s="5"/>
      <c r="D913" s="5"/>
      <c r="E913" s="5"/>
      <c r="F913" s="5"/>
    </row>
    <row r="914" spans="2:6" ht="15.75" customHeight="1">
      <c r="B914" s="5"/>
      <c r="C914" s="5"/>
      <c r="D914" s="5"/>
      <c r="E914" s="5"/>
      <c r="F914" s="5"/>
    </row>
    <row r="915" spans="2:6" ht="15.75" customHeight="1">
      <c r="B915" s="5"/>
      <c r="C915" s="5"/>
      <c r="D915" s="5"/>
      <c r="E915" s="5"/>
      <c r="F915" s="5"/>
    </row>
    <row r="916" spans="2:6" ht="15.75" customHeight="1">
      <c r="B916" s="5"/>
      <c r="C916" s="5"/>
      <c r="D916" s="5"/>
      <c r="E916" s="5"/>
      <c r="F916" s="5"/>
    </row>
    <row r="917" spans="2:6" ht="15.75" customHeight="1">
      <c r="B917" s="5"/>
      <c r="C917" s="5"/>
      <c r="D917" s="5"/>
      <c r="E917" s="5"/>
      <c r="F917" s="5"/>
    </row>
    <row r="918" spans="2:6" ht="15.75" customHeight="1">
      <c r="B918" s="5"/>
      <c r="C918" s="5"/>
      <c r="D918" s="5"/>
      <c r="E918" s="5"/>
      <c r="F918" s="5"/>
    </row>
    <row r="919" spans="2:6" ht="15.75" customHeight="1">
      <c r="B919" s="5"/>
      <c r="C919" s="5"/>
      <c r="D919" s="5"/>
      <c r="E919" s="5"/>
      <c r="F919" s="5"/>
    </row>
    <row r="920" spans="2:6" ht="15.75" customHeight="1">
      <c r="B920" s="5"/>
      <c r="C920" s="5"/>
      <c r="D920" s="5"/>
      <c r="E920" s="5"/>
      <c r="F920" s="5"/>
    </row>
    <row r="921" spans="2:6" ht="15.75" customHeight="1">
      <c r="B921" s="5"/>
      <c r="C921" s="5"/>
      <c r="D921" s="5"/>
      <c r="E921" s="5"/>
      <c r="F921" s="5"/>
    </row>
    <row r="922" spans="2:6" ht="15.75" customHeight="1">
      <c r="B922" s="5"/>
      <c r="C922" s="5"/>
      <c r="D922" s="5"/>
      <c r="E922" s="5"/>
      <c r="F922" s="5"/>
    </row>
    <row r="923" spans="2:6" ht="15.75" customHeight="1">
      <c r="B923" s="5"/>
      <c r="C923" s="5"/>
      <c r="D923" s="5"/>
      <c r="E923" s="5"/>
      <c r="F923" s="5"/>
    </row>
    <row r="924" spans="2:6" ht="15.75" customHeight="1">
      <c r="B924" s="5"/>
      <c r="C924" s="5"/>
      <c r="D924" s="5"/>
      <c r="E924" s="5"/>
      <c r="F924" s="5"/>
    </row>
    <row r="925" spans="2:6" ht="15.75" customHeight="1">
      <c r="B925" s="5"/>
      <c r="C925" s="5"/>
      <c r="D925" s="5"/>
      <c r="E925" s="5"/>
      <c r="F925" s="5"/>
    </row>
    <row r="926" spans="2:6" ht="15.75" customHeight="1">
      <c r="B926" s="5"/>
      <c r="C926" s="5"/>
      <c r="D926" s="5"/>
      <c r="E926" s="5"/>
      <c r="F926" s="5"/>
    </row>
    <row r="927" spans="2:6" ht="15.75" customHeight="1">
      <c r="B927" s="5"/>
      <c r="C927" s="5"/>
      <c r="D927" s="5"/>
      <c r="E927" s="5"/>
      <c r="F927" s="5"/>
    </row>
    <row r="928" spans="2:6" ht="15.75" customHeight="1">
      <c r="B928" s="5"/>
      <c r="C928" s="5"/>
      <c r="D928" s="5"/>
      <c r="E928" s="5"/>
      <c r="F928" s="5"/>
    </row>
    <row r="929" spans="2:6" ht="15.75" customHeight="1">
      <c r="B929" s="5"/>
      <c r="C929" s="5"/>
      <c r="D929" s="5"/>
      <c r="E929" s="5"/>
      <c r="F929" s="5"/>
    </row>
    <row r="930" spans="2:6" ht="15.75" customHeight="1">
      <c r="B930" s="5"/>
      <c r="C930" s="5"/>
      <c r="D930" s="5"/>
      <c r="E930" s="5"/>
      <c r="F930" s="5"/>
    </row>
    <row r="931" spans="2:6" ht="15.75" customHeight="1">
      <c r="B931" s="5"/>
      <c r="C931" s="5"/>
      <c r="D931" s="5"/>
      <c r="E931" s="5"/>
      <c r="F931" s="5"/>
    </row>
    <row r="932" spans="2:6" ht="15.75" customHeight="1">
      <c r="B932" s="5"/>
      <c r="C932" s="5"/>
      <c r="D932" s="5"/>
      <c r="E932" s="5"/>
      <c r="F932" s="5"/>
    </row>
    <row r="933" spans="2:6" ht="15.75" customHeight="1">
      <c r="B933" s="5"/>
      <c r="C933" s="5"/>
      <c r="D933" s="5"/>
      <c r="E933" s="5"/>
      <c r="F933" s="5"/>
    </row>
    <row r="934" spans="2:6" ht="15.75" customHeight="1">
      <c r="B934" s="5"/>
      <c r="C934" s="5"/>
      <c r="D934" s="5"/>
      <c r="E934" s="5"/>
      <c r="F934" s="5"/>
    </row>
    <row r="935" spans="2:6" ht="15.75" customHeight="1">
      <c r="B935" s="5"/>
      <c r="C935" s="5"/>
      <c r="D935" s="5"/>
      <c r="E935" s="5"/>
      <c r="F935" s="5"/>
    </row>
    <row r="936" spans="2:6" ht="15.75" customHeight="1">
      <c r="B936" s="5"/>
      <c r="C936" s="5"/>
      <c r="D936" s="5"/>
      <c r="E936" s="5"/>
      <c r="F936" s="5"/>
    </row>
    <row r="937" spans="2:6" ht="15.75" customHeight="1">
      <c r="B937" s="5"/>
      <c r="C937" s="5"/>
      <c r="D937" s="5"/>
      <c r="E937" s="5"/>
      <c r="F937" s="5"/>
    </row>
    <row r="938" spans="2:6" ht="15.75" customHeight="1">
      <c r="B938" s="5"/>
      <c r="C938" s="5"/>
      <c r="D938" s="5"/>
      <c r="E938" s="5"/>
      <c r="F938" s="5"/>
    </row>
    <row r="939" spans="2:6" ht="15.75" customHeight="1">
      <c r="B939" s="5"/>
      <c r="C939" s="5"/>
      <c r="D939" s="5"/>
      <c r="E939" s="5"/>
      <c r="F939" s="5"/>
    </row>
    <row r="940" spans="2:6" ht="15.75" customHeight="1">
      <c r="B940" s="5"/>
      <c r="C940" s="5"/>
      <c r="D940" s="5"/>
      <c r="E940" s="5"/>
      <c r="F940" s="5"/>
    </row>
    <row r="941" spans="2:6" ht="15.75" customHeight="1">
      <c r="B941" s="5"/>
      <c r="C941" s="5"/>
      <c r="D941" s="5"/>
      <c r="E941" s="5"/>
      <c r="F941" s="5"/>
    </row>
    <row r="942" spans="2:6" ht="15.75" customHeight="1">
      <c r="B942" s="5"/>
      <c r="C942" s="5"/>
      <c r="D942" s="5"/>
      <c r="E942" s="5"/>
      <c r="F942" s="5"/>
    </row>
    <row r="943" spans="2:6" ht="15.75" customHeight="1">
      <c r="B943" s="5"/>
      <c r="C943" s="5"/>
      <c r="D943" s="5"/>
      <c r="E943" s="5"/>
      <c r="F943" s="5"/>
    </row>
    <row r="944" spans="2:6" ht="15.75" customHeight="1">
      <c r="B944" s="5"/>
      <c r="C944" s="5"/>
      <c r="D944" s="5"/>
      <c r="E944" s="5"/>
      <c r="F944" s="5"/>
    </row>
    <row r="945" spans="2:6" ht="15.75" customHeight="1">
      <c r="B945" s="5"/>
      <c r="C945" s="5"/>
      <c r="D945" s="5"/>
      <c r="E945" s="5"/>
      <c r="F945" s="5"/>
    </row>
    <row r="946" spans="2:6" ht="15.75" customHeight="1">
      <c r="B946" s="5"/>
      <c r="C946" s="5"/>
      <c r="D946" s="5"/>
      <c r="E946" s="5"/>
      <c r="F946" s="5"/>
    </row>
    <row r="947" spans="2:6" ht="15.75" customHeight="1">
      <c r="B947" s="5"/>
      <c r="C947" s="5"/>
      <c r="D947" s="5"/>
      <c r="E947" s="5"/>
      <c r="F947" s="5"/>
    </row>
    <row r="948" spans="2:6" ht="15.75" customHeight="1">
      <c r="B948" s="5"/>
      <c r="C948" s="5"/>
      <c r="D948" s="5"/>
      <c r="E948" s="5"/>
      <c r="F948" s="5"/>
    </row>
    <row r="949" spans="2:6" ht="15.75" customHeight="1">
      <c r="B949" s="5"/>
      <c r="C949" s="5"/>
      <c r="D949" s="5"/>
      <c r="E949" s="5"/>
      <c r="F949" s="5"/>
    </row>
    <row r="950" spans="2:6" ht="15.75" customHeight="1">
      <c r="B950" s="5"/>
      <c r="C950" s="5"/>
      <c r="D950" s="5"/>
      <c r="E950" s="5"/>
      <c r="F950" s="5"/>
    </row>
    <row r="951" spans="2:6" ht="15.75" customHeight="1">
      <c r="B951" s="5"/>
      <c r="C951" s="5"/>
      <c r="D951" s="5"/>
      <c r="E951" s="5"/>
      <c r="F951" s="5"/>
    </row>
    <row r="952" spans="2:6" ht="15.75" customHeight="1">
      <c r="B952" s="5"/>
      <c r="C952" s="5"/>
      <c r="D952" s="5"/>
      <c r="E952" s="5"/>
      <c r="F952" s="5"/>
    </row>
    <row r="953" spans="2:6" ht="15.75" customHeight="1">
      <c r="B953" s="5"/>
      <c r="C953" s="5"/>
      <c r="D953" s="5"/>
      <c r="E953" s="5"/>
      <c r="F953" s="5"/>
    </row>
    <row r="954" spans="2:6" ht="15.75" customHeight="1">
      <c r="B954" s="5"/>
      <c r="C954" s="5"/>
      <c r="D954" s="5"/>
      <c r="E954" s="5"/>
      <c r="F954" s="5"/>
    </row>
    <row r="955" spans="2:6" ht="15.75" customHeight="1">
      <c r="B955" s="5"/>
      <c r="C955" s="5"/>
      <c r="D955" s="5"/>
      <c r="E955" s="5"/>
      <c r="F955" s="5"/>
    </row>
    <row r="956" spans="2:6" ht="15.75" customHeight="1">
      <c r="B956" s="5"/>
      <c r="C956" s="5"/>
      <c r="D956" s="5"/>
      <c r="E956" s="5"/>
      <c r="F956" s="5"/>
    </row>
    <row r="957" spans="2:6" ht="15.75" customHeight="1">
      <c r="B957" s="5"/>
      <c r="C957" s="5"/>
      <c r="D957" s="5"/>
      <c r="E957" s="5"/>
      <c r="F957" s="5"/>
    </row>
    <row r="958" spans="2:6" ht="15.75" customHeight="1">
      <c r="B958" s="5"/>
      <c r="C958" s="5"/>
      <c r="D958" s="5"/>
      <c r="E958" s="5"/>
      <c r="F958" s="5"/>
    </row>
    <row r="959" spans="2:6" ht="15.75" customHeight="1">
      <c r="B959" s="5"/>
      <c r="C959" s="5"/>
      <c r="D959" s="5"/>
      <c r="E959" s="5"/>
      <c r="F959" s="5"/>
    </row>
    <row r="960" spans="2:6" ht="15.75" customHeight="1">
      <c r="B960" s="5"/>
      <c r="C960" s="5"/>
      <c r="D960" s="5"/>
      <c r="E960" s="5"/>
      <c r="F960" s="5"/>
    </row>
    <row r="961" spans="2:6" ht="15.75" customHeight="1">
      <c r="B961" s="5"/>
      <c r="C961" s="5"/>
      <c r="D961" s="5"/>
      <c r="E961" s="5"/>
      <c r="F961" s="5"/>
    </row>
    <row r="962" spans="2:6" ht="15.75" customHeight="1">
      <c r="B962" s="5"/>
      <c r="C962" s="5"/>
      <c r="D962" s="5"/>
      <c r="E962" s="5"/>
      <c r="F962" s="5"/>
    </row>
    <row r="963" spans="2:6" ht="15.75" customHeight="1">
      <c r="B963" s="5"/>
      <c r="C963" s="5"/>
      <c r="D963" s="5"/>
      <c r="E963" s="5"/>
      <c r="F963" s="5"/>
    </row>
    <row r="964" spans="2:6" ht="15.75" customHeight="1">
      <c r="B964" s="5"/>
      <c r="C964" s="5"/>
      <c r="D964" s="5"/>
      <c r="E964" s="5"/>
      <c r="F964" s="5"/>
    </row>
    <row r="965" spans="2:6" ht="15.75" customHeight="1">
      <c r="B965" s="5"/>
      <c r="C965" s="5"/>
      <c r="D965" s="5"/>
      <c r="E965" s="5"/>
      <c r="F965" s="5"/>
    </row>
    <row r="966" spans="2:6" ht="15.75" customHeight="1">
      <c r="B966" s="5"/>
      <c r="C966" s="5"/>
      <c r="D966" s="5"/>
      <c r="E966" s="5"/>
      <c r="F966" s="5"/>
    </row>
    <row r="967" spans="2:6" ht="15.75" customHeight="1">
      <c r="B967" s="5"/>
      <c r="C967" s="5"/>
      <c r="D967" s="5"/>
      <c r="E967" s="5"/>
      <c r="F967" s="5"/>
    </row>
    <row r="968" spans="2:6" ht="15.75" customHeight="1">
      <c r="B968" s="5"/>
      <c r="C968" s="5"/>
      <c r="D968" s="5"/>
      <c r="E968" s="5"/>
      <c r="F968" s="5"/>
    </row>
    <row r="969" spans="2:6" ht="15.75" customHeight="1">
      <c r="B969" s="5"/>
      <c r="C969" s="5"/>
      <c r="D969" s="5"/>
      <c r="E969" s="5"/>
      <c r="F969" s="5"/>
    </row>
    <row r="970" spans="2:6" ht="15.75" customHeight="1">
      <c r="B970" s="5"/>
      <c r="C970" s="5"/>
      <c r="D970" s="5"/>
      <c r="E970" s="5"/>
      <c r="F970" s="5"/>
    </row>
    <row r="971" spans="2:6" ht="15.75" customHeight="1">
      <c r="B971" s="5"/>
      <c r="C971" s="5"/>
      <c r="D971" s="5"/>
      <c r="E971" s="5"/>
      <c r="F971" s="5"/>
    </row>
    <row r="972" spans="2:6" ht="15.75" customHeight="1">
      <c r="B972" s="5"/>
      <c r="C972" s="5"/>
      <c r="D972" s="5"/>
      <c r="E972" s="5"/>
      <c r="F972" s="5"/>
    </row>
    <row r="973" spans="2:6" ht="15.75" customHeight="1">
      <c r="B973" s="5"/>
      <c r="C973" s="5"/>
      <c r="D973" s="5"/>
      <c r="E973" s="5"/>
      <c r="F973" s="5"/>
    </row>
    <row r="974" spans="2:6" ht="15.75" customHeight="1">
      <c r="B974" s="5"/>
      <c r="C974" s="5"/>
      <c r="D974" s="5"/>
      <c r="E974" s="5"/>
      <c r="F974" s="5"/>
    </row>
    <row r="975" spans="2:6" ht="15.75" customHeight="1">
      <c r="B975" s="5"/>
      <c r="C975" s="5"/>
      <c r="D975" s="5"/>
      <c r="E975" s="5"/>
      <c r="F975" s="5"/>
    </row>
    <row r="976" spans="2:6" ht="15.75" customHeight="1">
      <c r="B976" s="5"/>
      <c r="C976" s="5"/>
      <c r="D976" s="5"/>
      <c r="E976" s="5"/>
      <c r="F976" s="5"/>
    </row>
    <row r="977" spans="2:6" ht="15.75" customHeight="1">
      <c r="B977" s="5"/>
      <c r="C977" s="5"/>
      <c r="D977" s="5"/>
      <c r="E977" s="5"/>
      <c r="F977" s="5"/>
    </row>
    <row r="978" spans="2:6" ht="15.75" customHeight="1">
      <c r="B978" s="5"/>
      <c r="C978" s="5"/>
      <c r="D978" s="5"/>
      <c r="E978" s="5"/>
      <c r="F978" s="5"/>
    </row>
    <row r="979" spans="2:6" ht="15.75" customHeight="1">
      <c r="B979" s="5"/>
      <c r="C979" s="5"/>
      <c r="D979" s="5"/>
      <c r="E979" s="5"/>
      <c r="F979" s="5"/>
    </row>
    <row r="980" spans="2:6" ht="15.75" customHeight="1">
      <c r="B980" s="5"/>
      <c r="C980" s="5"/>
      <c r="D980" s="5"/>
      <c r="E980" s="5"/>
      <c r="F980" s="5"/>
    </row>
    <row r="981" spans="2:6" ht="15.75" customHeight="1">
      <c r="B981" s="5"/>
      <c r="C981" s="5"/>
      <c r="D981" s="5"/>
      <c r="E981" s="5"/>
      <c r="F981" s="5"/>
    </row>
    <row r="982" spans="2:6" ht="15.75" customHeight="1">
      <c r="B982" s="5"/>
      <c r="C982" s="5"/>
      <c r="D982" s="5"/>
      <c r="E982" s="5"/>
      <c r="F982" s="5"/>
    </row>
    <row r="983" spans="2:6" ht="15.75" customHeight="1">
      <c r="B983" s="5"/>
      <c r="C983" s="5"/>
      <c r="D983" s="5"/>
      <c r="E983" s="5"/>
      <c r="F983" s="5"/>
    </row>
    <row r="984" spans="2:6" ht="15.75" customHeight="1">
      <c r="B984" s="5"/>
      <c r="C984" s="5"/>
      <c r="D984" s="5"/>
      <c r="E984" s="5"/>
      <c r="F984" s="5"/>
    </row>
    <row r="985" spans="2:6" ht="15.75" customHeight="1">
      <c r="B985" s="5"/>
      <c r="C985" s="5"/>
      <c r="D985" s="5"/>
      <c r="E985" s="5"/>
      <c r="F985" s="5"/>
    </row>
    <row r="986" spans="2:6" ht="15.75" customHeight="1">
      <c r="B986" s="5"/>
      <c r="C986" s="5"/>
      <c r="D986" s="5"/>
      <c r="E986" s="5"/>
      <c r="F986" s="5"/>
    </row>
    <row r="987" spans="2:6" ht="15.75" customHeight="1">
      <c r="B987" s="5"/>
      <c r="C987" s="5"/>
      <c r="D987" s="5"/>
      <c r="E987" s="5"/>
      <c r="F987" s="5"/>
    </row>
    <row r="988" spans="2:6" ht="15.75" customHeight="1">
      <c r="B988" s="5"/>
      <c r="C988" s="5"/>
      <c r="D988" s="5"/>
      <c r="E988" s="5"/>
      <c r="F988" s="5"/>
    </row>
    <row r="989" spans="2:6" ht="15.75" customHeight="1">
      <c r="B989" s="5"/>
      <c r="C989" s="5"/>
      <c r="D989" s="5"/>
      <c r="E989" s="5"/>
      <c r="F989" s="5"/>
    </row>
    <row r="990" spans="2:6" ht="15.75" customHeight="1">
      <c r="B990" s="5"/>
      <c r="C990" s="5"/>
      <c r="D990" s="5"/>
      <c r="E990" s="5"/>
      <c r="F990" s="5"/>
    </row>
    <row r="991" spans="2:6" ht="15.75" customHeight="1">
      <c r="B991" s="5"/>
      <c r="C991" s="5"/>
      <c r="D991" s="5"/>
      <c r="E991" s="5"/>
      <c r="F991" s="5"/>
    </row>
    <row r="992" spans="2:6" ht="15.75" customHeight="1">
      <c r="B992" s="5"/>
      <c r="C992" s="5"/>
      <c r="D992" s="5"/>
      <c r="E992" s="5"/>
      <c r="F992" s="5"/>
    </row>
    <row r="993" spans="2:6" ht="15.75" customHeight="1">
      <c r="B993" s="5"/>
      <c r="C993" s="5"/>
      <c r="D993" s="5"/>
      <c r="E993" s="5"/>
      <c r="F993" s="5"/>
    </row>
    <row r="994" spans="2:6" ht="15.75" customHeight="1">
      <c r="B994" s="5"/>
      <c r="C994" s="5"/>
      <c r="D994" s="5"/>
      <c r="E994" s="5"/>
      <c r="F994" s="5"/>
    </row>
    <row r="995" spans="2:6" ht="15.75" customHeight="1">
      <c r="B995" s="5"/>
      <c r="C995" s="5"/>
      <c r="D995" s="5"/>
      <c r="E995" s="5"/>
      <c r="F995" s="5"/>
    </row>
    <row r="996" spans="2:6" ht="15.75" customHeight="1">
      <c r="B996" s="5"/>
      <c r="C996" s="5"/>
      <c r="D996" s="5"/>
      <c r="E996" s="5"/>
      <c r="F996" s="5"/>
    </row>
    <row r="997" spans="2:6" ht="15.75" customHeight="1">
      <c r="B997" s="5"/>
      <c r="C997" s="5"/>
      <c r="D997" s="5"/>
      <c r="E997" s="5"/>
      <c r="F997" s="5"/>
    </row>
    <row r="998" spans="2:6" ht="15.75" customHeight="1">
      <c r="B998" s="5"/>
      <c r="C998" s="5"/>
      <c r="D998" s="5"/>
      <c r="E998" s="5"/>
      <c r="F998" s="5"/>
    </row>
    <row r="999" spans="2:6" ht="15.75" customHeight="1">
      <c r="B999" s="5"/>
      <c r="C999" s="5"/>
      <c r="D999" s="5"/>
      <c r="E999" s="5"/>
      <c r="F999" s="5"/>
    </row>
    <row r="1000" spans="2:6" ht="15.75" customHeight="1">
      <c r="B1000" s="5"/>
      <c r="C1000" s="5"/>
      <c r="D1000" s="5"/>
      <c r="E1000" s="5"/>
      <c r="F1000" s="5"/>
    </row>
    <row r="1001" spans="2:6" ht="15.75" customHeight="1">
      <c r="B1001" s="5"/>
      <c r="C1001" s="5"/>
      <c r="D1001" s="5"/>
      <c r="E1001" s="5"/>
      <c r="F1001" s="5"/>
    </row>
    <row r="1002" spans="2:6" ht="15.75" customHeight="1">
      <c r="B1002" s="5"/>
      <c r="C1002" s="5"/>
      <c r="D1002" s="5"/>
      <c r="E1002" s="5"/>
      <c r="F1002" s="5"/>
    </row>
  </sheetData>
  <conditionalFormatting sqref="E6:E13">
    <cfRule type="cellIs" dxfId="11" priority="1" operator="greaterThanOrEqual">
      <formula>0</formula>
    </cfRule>
  </conditionalFormatting>
  <conditionalFormatting sqref="E6:E13">
    <cfRule type="cellIs" dxfId="1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workbookViewId="0">
      <selection activeCell="T6" sqref="T6"/>
    </sheetView>
  </sheetViews>
  <sheetFormatPr baseColWidth="10" defaultColWidth="11.1640625" defaultRowHeight="15" customHeight="1"/>
  <cols>
    <col min="1" max="1" width="11.83203125" customWidth="1"/>
    <col min="2" max="2" width="8.33203125" customWidth="1"/>
    <col min="3" max="3" width="14.6640625" bestFit="1" customWidth="1"/>
    <col min="4" max="4" width="7.1640625" customWidth="1"/>
    <col min="5" max="5" width="10.5" customWidth="1"/>
    <col min="6" max="6" width="8.1640625" bestFit="1" customWidth="1"/>
    <col min="7" max="7" width="5.1640625" customWidth="1"/>
    <col min="8" max="8" width="4.33203125" customWidth="1"/>
    <col min="9" max="9" width="4.1640625" customWidth="1"/>
    <col min="10" max="10" width="5.33203125" customWidth="1"/>
    <col min="11" max="11" width="6.1640625" customWidth="1"/>
    <col min="12" max="13" width="2.6640625" customWidth="1"/>
    <col min="14" max="14" width="12.1640625" customWidth="1"/>
    <col min="15" max="15" width="1.5" customWidth="1"/>
    <col min="16" max="16" width="6.1640625" customWidth="1"/>
    <col min="17" max="17" width="4" customWidth="1"/>
    <col min="18" max="18" width="4.33203125" customWidth="1"/>
    <col min="19" max="19" width="5.83203125" customWidth="1"/>
    <col min="20" max="20" width="6.5" customWidth="1"/>
    <col min="21" max="21" width="35.33203125" customWidth="1"/>
    <col min="22" max="26" width="10.5" customWidth="1"/>
  </cols>
  <sheetData>
    <row r="1" spans="1:26" ht="15.75" customHeight="1">
      <c r="A1" s="2" t="s">
        <v>1</v>
      </c>
      <c r="B1" s="4" t="s">
        <v>3</v>
      </c>
      <c r="C1" s="5"/>
      <c r="D1" s="5"/>
      <c r="E1" s="5"/>
      <c r="F1" s="5"/>
      <c r="P1" s="33"/>
      <c r="Q1" s="33"/>
      <c r="R1" s="33"/>
      <c r="S1" s="33"/>
      <c r="T1" s="33"/>
    </row>
    <row r="2" spans="1:26" ht="15.75" customHeight="1">
      <c r="A2" s="2" t="s">
        <v>6</v>
      </c>
      <c r="B2" s="4" t="s">
        <v>11</v>
      </c>
      <c r="C2" s="39" t="s">
        <v>48</v>
      </c>
      <c r="D2" s="5"/>
      <c r="E2" s="5"/>
      <c r="F2" s="5"/>
      <c r="P2" s="33"/>
      <c r="Q2" s="33"/>
      <c r="R2" s="33"/>
      <c r="S2" s="33"/>
      <c r="T2" s="33"/>
    </row>
    <row r="3" spans="1:26" ht="15.75" customHeight="1">
      <c r="A3" s="2" t="s">
        <v>10</v>
      </c>
      <c r="B3" s="9">
        <v>0.48958333333333331</v>
      </c>
      <c r="C3" s="10">
        <v>43662</v>
      </c>
      <c r="D3" s="5"/>
      <c r="E3" s="5"/>
      <c r="F3" s="5"/>
      <c r="P3" s="33"/>
      <c r="Q3" s="33"/>
      <c r="R3" s="33"/>
      <c r="S3" s="33"/>
      <c r="T3" s="33"/>
    </row>
    <row r="4" spans="1:26" ht="15.75" customHeight="1">
      <c r="B4" s="5"/>
      <c r="C4" s="5"/>
      <c r="D4" s="5"/>
      <c r="E4" s="5"/>
      <c r="G4" s="4" t="s">
        <v>15</v>
      </c>
      <c r="P4" s="14" t="s">
        <v>49</v>
      </c>
      <c r="Q4" s="40"/>
      <c r="R4" s="33"/>
      <c r="S4" s="33"/>
      <c r="T4" s="41" t="s">
        <v>50</v>
      </c>
    </row>
    <row r="5" spans="1:26" ht="15.75" customHeight="1">
      <c r="A5" s="12" t="s">
        <v>18</v>
      </c>
      <c r="B5" s="12" t="s">
        <v>19</v>
      </c>
      <c r="C5" s="12" t="s">
        <v>20</v>
      </c>
      <c r="D5" s="12" t="s">
        <v>21</v>
      </c>
      <c r="E5" s="4" t="s">
        <v>22</v>
      </c>
      <c r="G5" s="4" t="s">
        <v>23</v>
      </c>
      <c r="H5" s="14" t="s">
        <v>24</v>
      </c>
      <c r="I5" s="12" t="s">
        <v>25</v>
      </c>
      <c r="J5" s="12" t="s">
        <v>26</v>
      </c>
      <c r="K5" s="12" t="s">
        <v>27</v>
      </c>
      <c r="L5" s="12"/>
      <c r="N5" s="16" t="s">
        <v>28</v>
      </c>
      <c r="P5" s="14" t="s">
        <v>51</v>
      </c>
      <c r="Q5" s="14" t="s">
        <v>52</v>
      </c>
      <c r="R5" s="14" t="s">
        <v>53</v>
      </c>
      <c r="S5" s="14" t="s">
        <v>54</v>
      </c>
      <c r="T5" s="41" t="s">
        <v>55</v>
      </c>
      <c r="V5" s="59" t="s">
        <v>89</v>
      </c>
      <c r="W5" s="59" t="s">
        <v>90</v>
      </c>
      <c r="X5" s="59" t="s">
        <v>91</v>
      </c>
      <c r="Y5" s="59" t="s">
        <v>92</v>
      </c>
    </row>
    <row r="6" spans="1:26" ht="15.75" customHeight="1">
      <c r="A6" s="17">
        <v>1</v>
      </c>
      <c r="B6" s="35">
        <v>1.76</v>
      </c>
      <c r="C6" s="35">
        <v>247</v>
      </c>
      <c r="D6" s="18">
        <f t="shared" ref="D6:D10" si="0">AVERAGE(G6:K6)</f>
        <v>192.66666666666666</v>
      </c>
      <c r="E6" s="20">
        <f t="shared" ref="E6:E10" si="1">IF(ABS(D6-C6)&gt;180,360-ABS(D6-C6),D6-C6)</f>
        <v>-54.333333333333343</v>
      </c>
      <c r="G6" s="13"/>
      <c r="H6" s="21">
        <v>193</v>
      </c>
      <c r="I6" s="13"/>
      <c r="J6" s="13">
        <v>188</v>
      </c>
      <c r="K6" s="13">
        <v>197</v>
      </c>
      <c r="L6" s="13"/>
      <c r="N6" s="15" t="s">
        <v>56</v>
      </c>
      <c r="O6" s="22"/>
      <c r="P6" s="21">
        <v>0.75</v>
      </c>
      <c r="Q6" s="34">
        <v>195</v>
      </c>
      <c r="R6" s="21">
        <v>10</v>
      </c>
      <c r="S6" s="42">
        <f>COS(RADIANS(C6-Q6))*P6*R6/60</f>
        <v>7.69576844157073E-2</v>
      </c>
      <c r="T6" s="43">
        <f t="shared" ref="T6:T10" si="2">B6-S6</f>
        <v>1.6830423155842926</v>
      </c>
      <c r="U6" s="3" t="s">
        <v>57</v>
      </c>
      <c r="V6" s="19">
        <f>IF(ISBLANK(A6),"",A6)</f>
        <v>1</v>
      </c>
      <c r="W6" s="61">
        <f>IF(V6="","",IF(ISBLANK(T6),B6,B6-S6))</f>
        <v>1.6830423155842926</v>
      </c>
      <c r="X6" s="21">
        <f>IF(V6="","",C6)</f>
        <v>247</v>
      </c>
      <c r="Y6" s="60">
        <f>IF(V6="","",D6)</f>
        <v>192.66666666666666</v>
      </c>
    </row>
    <row r="7" spans="1:26" ht="15.75" customHeight="1">
      <c r="A7" s="17">
        <v>2</v>
      </c>
      <c r="B7" s="35">
        <v>0.97</v>
      </c>
      <c r="C7" s="35">
        <v>76</v>
      </c>
      <c r="D7" s="18">
        <f t="shared" si="0"/>
        <v>197</v>
      </c>
      <c r="E7" s="20">
        <f t="shared" si="1"/>
        <v>121</v>
      </c>
      <c r="G7" s="13"/>
      <c r="H7" s="21">
        <v>196</v>
      </c>
      <c r="I7" s="13"/>
      <c r="J7" s="13">
        <v>194</v>
      </c>
      <c r="K7" s="13">
        <v>201</v>
      </c>
      <c r="L7" s="13"/>
      <c r="N7" s="15" t="s">
        <v>58</v>
      </c>
      <c r="O7" s="23"/>
      <c r="P7" s="33"/>
      <c r="Q7" s="33"/>
      <c r="R7" s="34">
        <v>0</v>
      </c>
      <c r="S7" s="44">
        <v>0</v>
      </c>
      <c r="T7" s="43">
        <f t="shared" si="2"/>
        <v>0.97</v>
      </c>
      <c r="U7" s="3" t="s">
        <v>59</v>
      </c>
      <c r="V7" s="19">
        <f>IF(ISBLANK(A7),"",A7)</f>
        <v>2</v>
      </c>
      <c r="W7" s="61">
        <f t="shared" ref="W7:W12" si="3">IF(V7="","",IF(ISBLANK(T7),B7,T7))</f>
        <v>0.97</v>
      </c>
      <c r="X7" s="21">
        <f t="shared" ref="X7:X12" si="4">IF(V7="","",C7)</f>
        <v>76</v>
      </c>
      <c r="Y7" s="60">
        <f t="shared" ref="Y7:Y12" si="5">IF(V7="","",D7)</f>
        <v>197</v>
      </c>
    </row>
    <row r="8" spans="1:26" ht="15.75" customHeight="1">
      <c r="A8" s="17">
        <v>3</v>
      </c>
      <c r="B8" s="35">
        <v>1.92</v>
      </c>
      <c r="C8" s="35">
        <v>20</v>
      </c>
      <c r="D8" s="18">
        <f t="shared" si="0"/>
        <v>197</v>
      </c>
      <c r="E8" s="20">
        <f t="shared" si="1"/>
        <v>177</v>
      </c>
      <c r="G8" s="13"/>
      <c r="H8" s="21">
        <v>196</v>
      </c>
      <c r="I8" s="13"/>
      <c r="J8" s="13">
        <v>194</v>
      </c>
      <c r="K8" s="13">
        <v>201</v>
      </c>
      <c r="L8" s="13"/>
      <c r="N8" s="45" t="s">
        <v>60</v>
      </c>
      <c r="O8" s="23"/>
      <c r="P8" s="21">
        <v>1</v>
      </c>
      <c r="Q8" s="34">
        <v>200</v>
      </c>
      <c r="R8" s="21">
        <v>15</v>
      </c>
      <c r="S8" s="42">
        <f t="shared" ref="S8:S9" si="6">COS(RADIANS(C8-Q8))*P8*R8/60</f>
        <v>-0.25</v>
      </c>
      <c r="T8" s="43">
        <f t="shared" si="2"/>
        <v>2.17</v>
      </c>
      <c r="U8" s="3" t="s">
        <v>61</v>
      </c>
      <c r="V8" s="19">
        <f>IF(ISBLANK(A8),"",A8)</f>
        <v>3</v>
      </c>
      <c r="W8" s="61">
        <f t="shared" si="3"/>
        <v>2.17</v>
      </c>
      <c r="X8" s="21">
        <f t="shared" si="4"/>
        <v>20</v>
      </c>
      <c r="Y8" s="60">
        <f t="shared" si="5"/>
        <v>197</v>
      </c>
    </row>
    <row r="9" spans="1:26" ht="15.75" customHeight="1">
      <c r="A9" s="17">
        <v>4</v>
      </c>
      <c r="B9" s="35">
        <v>7.9</v>
      </c>
      <c r="C9" s="46">
        <v>208</v>
      </c>
      <c r="D9" s="18">
        <f t="shared" si="0"/>
        <v>200.33333333333334</v>
      </c>
      <c r="E9" s="20">
        <f t="shared" si="1"/>
        <v>-7.6666666666666572</v>
      </c>
      <c r="G9" s="28"/>
      <c r="H9" s="21">
        <v>197</v>
      </c>
      <c r="I9" s="13"/>
      <c r="J9" s="13">
        <v>200</v>
      </c>
      <c r="K9" s="13">
        <v>204</v>
      </c>
      <c r="L9" s="13"/>
      <c r="N9" s="47" t="s">
        <v>62</v>
      </c>
      <c r="O9" s="23"/>
      <c r="P9" s="21">
        <v>0.8</v>
      </c>
      <c r="Q9" s="34">
        <v>195</v>
      </c>
      <c r="R9" s="21">
        <v>36</v>
      </c>
      <c r="S9" s="42">
        <f t="shared" si="6"/>
        <v>0.46769763109691292</v>
      </c>
      <c r="T9" s="43">
        <f t="shared" si="2"/>
        <v>7.4323023689030876</v>
      </c>
      <c r="U9" s="3" t="s">
        <v>57</v>
      </c>
      <c r="V9" s="19">
        <f t="shared" ref="V9:V12" si="7">IF(ISBLANK(A9),"",A9)</f>
        <v>4</v>
      </c>
      <c r="W9" s="61">
        <f t="shared" si="3"/>
        <v>7.4323023689030876</v>
      </c>
      <c r="X9" s="21">
        <f t="shared" si="4"/>
        <v>208</v>
      </c>
      <c r="Y9" s="60">
        <f t="shared" si="5"/>
        <v>200.33333333333334</v>
      </c>
    </row>
    <row r="10" spans="1:26" ht="15.75" customHeight="1">
      <c r="A10" s="17">
        <v>5</v>
      </c>
      <c r="B10" s="35">
        <v>6.56</v>
      </c>
      <c r="C10" s="46">
        <v>35</v>
      </c>
      <c r="D10" s="18">
        <f t="shared" si="0"/>
        <v>207.33333333333334</v>
      </c>
      <c r="E10" s="20">
        <f t="shared" si="1"/>
        <v>172.33333333333334</v>
      </c>
      <c r="G10" s="28"/>
      <c r="H10" s="21">
        <v>208</v>
      </c>
      <c r="I10" s="13"/>
      <c r="J10" s="13">
        <v>204</v>
      </c>
      <c r="K10" s="13">
        <v>210</v>
      </c>
      <c r="L10" s="13"/>
      <c r="N10" s="48" t="s">
        <v>31</v>
      </c>
      <c r="O10" s="23"/>
      <c r="P10" s="21"/>
      <c r="Q10" s="33"/>
      <c r="R10" s="21">
        <v>0</v>
      </c>
      <c r="S10" s="44">
        <v>0</v>
      </c>
      <c r="T10" s="43">
        <f t="shared" si="2"/>
        <v>6.56</v>
      </c>
      <c r="U10" s="3" t="s">
        <v>63</v>
      </c>
      <c r="V10" s="19">
        <f t="shared" si="7"/>
        <v>5</v>
      </c>
      <c r="W10" s="61">
        <f t="shared" si="3"/>
        <v>6.56</v>
      </c>
      <c r="X10" s="21">
        <f t="shared" si="4"/>
        <v>35</v>
      </c>
      <c r="Y10" s="60">
        <f t="shared" si="5"/>
        <v>207.33333333333334</v>
      </c>
    </row>
    <row r="11" spans="1:26" ht="15.75" customHeight="1">
      <c r="A11" s="13"/>
      <c r="B11" s="27"/>
      <c r="C11" s="28"/>
      <c r="D11" s="25"/>
      <c r="E11" s="5"/>
      <c r="G11" s="28"/>
      <c r="H11" s="21"/>
      <c r="I11" s="13"/>
      <c r="J11" s="13"/>
      <c r="K11" s="13"/>
      <c r="L11" s="13"/>
      <c r="N11" s="29"/>
      <c r="O11" s="23"/>
      <c r="P11" s="26"/>
      <c r="Q11" s="26"/>
      <c r="R11" s="26"/>
      <c r="S11" s="33"/>
      <c r="T11" s="33"/>
      <c r="V11" s="19" t="str">
        <f t="shared" si="7"/>
        <v/>
      </c>
      <c r="W11" s="21" t="str">
        <f t="shared" si="3"/>
        <v/>
      </c>
      <c r="X11" s="21" t="str">
        <f t="shared" si="4"/>
        <v/>
      </c>
      <c r="Y11" s="19" t="str">
        <f t="shared" si="5"/>
        <v/>
      </c>
    </row>
    <row r="12" spans="1:26" ht="15.75" customHeight="1">
      <c r="A12" s="13"/>
      <c r="B12" s="27"/>
      <c r="C12" s="28"/>
      <c r="D12" s="25"/>
      <c r="E12" s="5"/>
      <c r="G12" s="28"/>
      <c r="H12" s="21"/>
      <c r="I12" s="13"/>
      <c r="J12" s="13"/>
      <c r="K12" s="13"/>
      <c r="L12" s="13"/>
      <c r="N12" s="29"/>
      <c r="O12" s="23"/>
      <c r="P12" s="26"/>
      <c r="Q12" s="33"/>
      <c r="R12" s="26"/>
      <c r="S12" s="8"/>
      <c r="T12" s="8"/>
      <c r="U12" s="2"/>
      <c r="V12" s="19" t="str">
        <f t="shared" si="7"/>
        <v/>
      </c>
      <c r="W12" s="21" t="str">
        <f t="shared" si="3"/>
        <v/>
      </c>
      <c r="X12" s="21" t="str">
        <f t="shared" si="4"/>
        <v/>
      </c>
      <c r="Y12" s="19" t="str">
        <f t="shared" si="5"/>
        <v/>
      </c>
      <c r="Z12" s="2"/>
    </row>
    <row r="13" spans="1:26" ht="15.75" customHeight="1">
      <c r="A13" s="13"/>
      <c r="B13" s="27"/>
      <c r="C13" s="28"/>
      <c r="D13" s="25"/>
      <c r="E13" s="5"/>
      <c r="G13" s="28"/>
      <c r="H13" s="21"/>
      <c r="I13" s="13"/>
      <c r="J13" s="13"/>
      <c r="K13" s="13"/>
      <c r="L13" s="13"/>
      <c r="N13" s="29"/>
      <c r="O13" s="23"/>
      <c r="P13" s="21"/>
      <c r="Q13" s="33"/>
      <c r="R13" s="26"/>
      <c r="S13" s="33"/>
      <c r="T13" s="33"/>
      <c r="V13" s="19"/>
      <c r="W13" s="21"/>
      <c r="X13" s="21"/>
      <c r="Y13" s="19"/>
    </row>
    <row r="14" spans="1:26" ht="15.75" customHeight="1">
      <c r="A14" s="14" t="s">
        <v>32</v>
      </c>
      <c r="B14" s="8">
        <f>SUM(B6:B13)</f>
        <v>19.11</v>
      </c>
      <c r="C14" s="5"/>
      <c r="D14" s="5"/>
      <c r="E14" s="5"/>
      <c r="F14" s="5"/>
      <c r="P14" s="49" t="s">
        <v>64</v>
      </c>
      <c r="Q14" s="33"/>
      <c r="R14" s="33"/>
      <c r="S14" s="33"/>
      <c r="T14" s="33"/>
    </row>
    <row r="15" spans="1:26" ht="15.75" customHeight="1">
      <c r="B15" s="5"/>
      <c r="C15" s="5"/>
      <c r="D15" s="5"/>
      <c r="E15" s="5"/>
      <c r="F15" s="5"/>
      <c r="P15" s="34">
        <v>219</v>
      </c>
      <c r="Q15" s="34">
        <v>4</v>
      </c>
      <c r="R15" s="33"/>
      <c r="S15" s="33"/>
      <c r="T15" s="33"/>
    </row>
    <row r="16" spans="1:26" ht="15.75" customHeight="1">
      <c r="A16" s="2"/>
      <c r="B16" s="8"/>
      <c r="C16" s="8"/>
      <c r="D16" s="8"/>
      <c r="E16" s="8"/>
      <c r="F16" s="8"/>
      <c r="G16" s="14"/>
      <c r="P16" s="34">
        <v>190</v>
      </c>
      <c r="Q16" s="34">
        <v>7</v>
      </c>
      <c r="R16" s="33"/>
      <c r="S16" s="33"/>
      <c r="T16" s="33"/>
    </row>
    <row r="17" spans="1:25" ht="15.75" customHeight="1">
      <c r="A17" s="2" t="s">
        <v>5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23</v>
      </c>
      <c r="G17" s="14" t="s">
        <v>37</v>
      </c>
      <c r="P17" s="34">
        <v>205</v>
      </c>
      <c r="Q17" s="50">
        <v>66</v>
      </c>
      <c r="R17" s="33"/>
      <c r="S17" s="33"/>
      <c r="T17" s="33"/>
      <c r="V17" s="58" t="s">
        <v>93</v>
      </c>
      <c r="W17" s="58"/>
      <c r="X17" s="62">
        <f>C3</f>
        <v>43662</v>
      </c>
      <c r="Y17" s="63">
        <f>B3</f>
        <v>0.48958333333333331</v>
      </c>
    </row>
    <row r="18" spans="1:25" ht="15.75" customHeight="1">
      <c r="A18" s="15" t="s">
        <v>24</v>
      </c>
      <c r="B18" s="30">
        <v>0.11491898148148148</v>
      </c>
      <c r="C18" s="30">
        <v>0.11491898148148148</v>
      </c>
      <c r="D18" s="30">
        <f>C18-C$18</f>
        <v>0</v>
      </c>
      <c r="E18" s="36">
        <v>9.9499300000000002</v>
      </c>
      <c r="F18" s="32">
        <v>0.60450231481481487</v>
      </c>
      <c r="G18" s="33">
        <f t="shared" ref="G18:G22" si="8">RANK(E18,E$18:E$22,0)</f>
        <v>1</v>
      </c>
      <c r="I18" s="15"/>
      <c r="J18" s="13"/>
      <c r="P18" s="51">
        <f>SUMPRODUCT(P15:P17,Q15:Q17)/Q18</f>
        <v>204.36363636363637</v>
      </c>
      <c r="Q18" s="33">
        <f>SUM(Q15:Q17)</f>
        <v>77</v>
      </c>
      <c r="R18" s="33"/>
      <c r="S18" s="33"/>
      <c r="T18" s="33"/>
      <c r="V18" s="58" t="s">
        <v>27</v>
      </c>
      <c r="W18" s="58" t="s">
        <v>96</v>
      </c>
      <c r="X18" s="62">
        <f>X$17</f>
        <v>43662</v>
      </c>
      <c r="Y18" s="63">
        <f>VLOOKUP(V18,A$18:F$22,6,0)</f>
        <v>0.60722222222222222</v>
      </c>
    </row>
    <row r="19" spans="1:25" ht="15.75" customHeight="1">
      <c r="A19" s="15" t="s">
        <v>26</v>
      </c>
      <c r="B19" s="30">
        <v>0.1267824074074074</v>
      </c>
      <c r="C19" s="30">
        <v>0.11494212962962963</v>
      </c>
      <c r="D19" s="30">
        <f t="shared" ref="D19:D22" si="9">C19-C18</f>
        <v>2.3148148148147141E-5</v>
      </c>
      <c r="E19" s="36">
        <v>9.9474900000000002</v>
      </c>
      <c r="F19" s="32">
        <v>0.61636574074074069</v>
      </c>
      <c r="G19" s="33">
        <f t="shared" si="8"/>
        <v>2</v>
      </c>
      <c r="I19" s="15"/>
      <c r="J19" s="13"/>
      <c r="Q19" s="33"/>
      <c r="R19" s="33"/>
      <c r="S19" s="33"/>
      <c r="T19" s="33"/>
      <c r="V19" s="58" t="s">
        <v>38</v>
      </c>
      <c r="W19" s="58" t="s">
        <v>98</v>
      </c>
      <c r="X19" s="62">
        <f t="shared" ref="X19:X22" si="10">X$17</f>
        <v>43662</v>
      </c>
      <c r="Y19" s="63">
        <f t="shared" ref="Y19:Y22" si="11">VLOOKUP(V19,A$18:F$22,6,0)</f>
        <v>0.62476851851851856</v>
      </c>
    </row>
    <row r="20" spans="1:25" ht="15.75" customHeight="1">
      <c r="A20" s="15" t="s">
        <v>27</v>
      </c>
      <c r="B20" s="30">
        <v>0.11763888888888889</v>
      </c>
      <c r="C20" s="30">
        <v>0.11885416666666666</v>
      </c>
      <c r="D20" s="30">
        <f t="shared" si="9"/>
        <v>3.9120370370370333E-3</v>
      </c>
      <c r="E20" s="36">
        <v>9.5854300000000006</v>
      </c>
      <c r="F20" s="30">
        <v>0.60722222222222222</v>
      </c>
      <c r="G20" s="33">
        <f t="shared" si="8"/>
        <v>3</v>
      </c>
      <c r="I20" s="15"/>
      <c r="J20" s="13"/>
      <c r="N20" s="3">
        <v>1</v>
      </c>
      <c r="P20" s="52">
        <f t="shared" ref="P20:P24" si="12">COS(RADIANS(Q6-C6))</f>
        <v>0.61566147532565829</v>
      </c>
      <c r="Q20" s="33"/>
      <c r="R20" s="33"/>
      <c r="S20" s="33"/>
      <c r="T20" s="33"/>
      <c r="V20" s="58" t="s">
        <v>24</v>
      </c>
      <c r="W20" s="58" t="s">
        <v>94</v>
      </c>
      <c r="X20" s="62">
        <f t="shared" si="10"/>
        <v>43662</v>
      </c>
      <c r="Y20" s="63">
        <f t="shared" si="11"/>
        <v>0.60450231481481487</v>
      </c>
    </row>
    <row r="21" spans="1:25" ht="15.75" customHeight="1">
      <c r="A21" s="15" t="s">
        <v>38</v>
      </c>
      <c r="B21" s="30">
        <v>0.13518518518518519</v>
      </c>
      <c r="C21" s="30">
        <v>0.12278935185185186</v>
      </c>
      <c r="D21" s="30">
        <f t="shared" si="9"/>
        <v>3.9351851851851943E-3</v>
      </c>
      <c r="E21" s="36">
        <v>9.2786200000000001</v>
      </c>
      <c r="F21" s="30">
        <v>0.62476851851851856</v>
      </c>
      <c r="G21" s="33">
        <f t="shared" si="8"/>
        <v>4</v>
      </c>
      <c r="I21" s="15"/>
      <c r="J21" s="34"/>
      <c r="N21" s="3">
        <v>2</v>
      </c>
      <c r="P21" s="52">
        <f t="shared" si="12"/>
        <v>0.24192189559966767</v>
      </c>
      <c r="Q21" s="33"/>
      <c r="R21" s="33"/>
      <c r="S21" s="33"/>
      <c r="T21" s="33"/>
      <c r="V21" s="58" t="s">
        <v>25</v>
      </c>
      <c r="W21" s="58" t="s">
        <v>95</v>
      </c>
      <c r="X21" s="62">
        <f t="shared" si="10"/>
        <v>43662</v>
      </c>
      <c r="Y21" s="63">
        <f t="shared" si="11"/>
        <v>0.60952546296296295</v>
      </c>
    </row>
    <row r="22" spans="1:25" ht="15.75" customHeight="1">
      <c r="A22" s="15" t="s">
        <v>25</v>
      </c>
      <c r="B22" s="30">
        <v>0.11994212962962963</v>
      </c>
      <c r="C22" s="30">
        <v>0.12309027777777778</v>
      </c>
      <c r="D22" s="30">
        <f t="shared" si="9"/>
        <v>3.0092592592592671E-4</v>
      </c>
      <c r="E22" s="36">
        <v>9.2533300000000001</v>
      </c>
      <c r="F22" s="30">
        <v>0.60952546296296295</v>
      </c>
      <c r="G22" s="33">
        <f t="shared" si="8"/>
        <v>5</v>
      </c>
      <c r="I22" s="15"/>
      <c r="J22" s="13"/>
      <c r="N22" s="3">
        <v>3</v>
      </c>
      <c r="P22" s="52">
        <f t="shared" si="12"/>
        <v>-1</v>
      </c>
      <c r="Q22" s="33"/>
      <c r="R22" s="33"/>
      <c r="S22" s="33"/>
      <c r="T22" s="33"/>
      <c r="V22" s="58" t="s">
        <v>26</v>
      </c>
      <c r="W22" s="58" t="s">
        <v>97</v>
      </c>
      <c r="X22" s="62">
        <f t="shared" si="10"/>
        <v>43662</v>
      </c>
      <c r="Y22" s="63">
        <f t="shared" si="11"/>
        <v>0.61636574074074069</v>
      </c>
    </row>
    <row r="23" spans="1:25" ht="15.75" customHeight="1">
      <c r="A23" s="15"/>
      <c r="B23" s="36"/>
      <c r="C23" s="36"/>
      <c r="D23" s="13"/>
      <c r="E23" s="36"/>
      <c r="F23" s="13"/>
      <c r="G23" s="36"/>
      <c r="H23" s="34"/>
      <c r="N23" s="3">
        <v>4</v>
      </c>
      <c r="P23" s="52">
        <f t="shared" si="12"/>
        <v>0.97437006478523525</v>
      </c>
      <c r="Q23" s="33"/>
      <c r="R23" s="33"/>
      <c r="S23" s="33"/>
      <c r="T23" s="33"/>
    </row>
    <row r="24" spans="1:25" ht="15.75" customHeight="1">
      <c r="A24" s="15"/>
      <c r="B24" s="5"/>
      <c r="C24" s="5"/>
      <c r="D24" s="5"/>
      <c r="E24" s="5"/>
      <c r="F24" s="5"/>
      <c r="N24" s="3">
        <v>5</v>
      </c>
      <c r="P24" s="52">
        <f t="shared" si="12"/>
        <v>0.8191520442889918</v>
      </c>
      <c r="Q24" s="33"/>
      <c r="R24" s="33"/>
      <c r="S24" s="33"/>
      <c r="T24" s="33"/>
    </row>
    <row r="25" spans="1:25" ht="15.75" customHeight="1">
      <c r="A25" s="15"/>
      <c r="B25" s="5"/>
      <c r="C25" s="5"/>
      <c r="D25" s="5"/>
      <c r="E25" s="5"/>
      <c r="F25" s="5"/>
      <c r="P25" s="33"/>
      <c r="Q25" s="33"/>
      <c r="R25" s="33"/>
      <c r="S25" s="33"/>
      <c r="T25" s="33"/>
    </row>
    <row r="26" spans="1:25" ht="15.75" customHeight="1">
      <c r="B26" s="5"/>
      <c r="C26" s="5"/>
      <c r="D26" s="5"/>
      <c r="E26" s="5"/>
      <c r="F26" s="5"/>
      <c r="P26" s="33"/>
      <c r="Q26" s="33"/>
      <c r="R26" s="33"/>
      <c r="S26" s="33"/>
      <c r="T26" s="33"/>
    </row>
    <row r="27" spans="1:25" ht="15.75" customHeight="1">
      <c r="B27" s="5"/>
      <c r="C27" s="5"/>
      <c r="D27" s="5"/>
      <c r="E27" s="5"/>
      <c r="F27" s="5"/>
      <c r="P27" s="33"/>
      <c r="Q27" s="33"/>
      <c r="R27" s="33"/>
      <c r="S27" s="33"/>
      <c r="T27" s="33"/>
    </row>
    <row r="28" spans="1:25" ht="15.75" customHeight="1">
      <c r="B28" s="5"/>
      <c r="C28" s="5"/>
      <c r="D28" s="5"/>
      <c r="E28" s="5"/>
      <c r="F28" s="5"/>
      <c r="P28" s="33"/>
      <c r="Q28" s="33"/>
      <c r="R28" s="33"/>
      <c r="S28" s="33"/>
      <c r="T28" s="33"/>
    </row>
    <row r="29" spans="1:25" ht="15.75" customHeight="1">
      <c r="B29" s="5"/>
      <c r="C29" s="5"/>
      <c r="D29" s="5"/>
      <c r="E29" s="5"/>
      <c r="F29" s="5"/>
      <c r="P29" s="33"/>
      <c r="Q29" s="33"/>
      <c r="R29" s="33"/>
      <c r="S29" s="33"/>
      <c r="T29" s="33"/>
    </row>
    <row r="30" spans="1:25" ht="15.75" customHeight="1">
      <c r="B30" s="5"/>
      <c r="C30" s="5"/>
      <c r="D30" s="5"/>
      <c r="E30" s="5"/>
      <c r="F30" s="5"/>
      <c r="P30" s="33"/>
      <c r="Q30" s="33"/>
      <c r="R30" s="33"/>
      <c r="S30" s="33"/>
      <c r="T30" s="33"/>
    </row>
    <row r="31" spans="1:25" ht="15.75" customHeight="1">
      <c r="B31" s="5"/>
      <c r="C31" s="5"/>
      <c r="D31" s="5"/>
      <c r="E31" s="5"/>
      <c r="F31" s="5"/>
      <c r="P31" s="33"/>
      <c r="Q31" s="33"/>
      <c r="R31" s="33"/>
      <c r="S31" s="33"/>
      <c r="T31" s="33"/>
    </row>
    <row r="32" spans="1:25" ht="15.75" customHeight="1">
      <c r="B32" s="5"/>
      <c r="C32" s="5"/>
      <c r="D32" s="5"/>
      <c r="E32" s="5"/>
      <c r="F32" s="5"/>
      <c r="P32" s="33"/>
      <c r="Q32" s="33"/>
      <c r="R32" s="33"/>
      <c r="S32" s="33"/>
      <c r="T32" s="33"/>
    </row>
    <row r="33" spans="2:20" ht="15.75" customHeight="1">
      <c r="B33" s="5"/>
      <c r="C33" s="5"/>
      <c r="D33" s="5"/>
      <c r="E33" s="5"/>
      <c r="F33" s="5"/>
      <c r="P33" s="33"/>
      <c r="Q33" s="33"/>
      <c r="R33" s="33"/>
      <c r="S33" s="33"/>
      <c r="T33" s="33"/>
    </row>
    <row r="34" spans="2:20" ht="15.75" customHeight="1">
      <c r="B34" s="5"/>
      <c r="C34" s="5"/>
      <c r="D34" s="5"/>
      <c r="E34" s="5"/>
      <c r="F34" s="5"/>
      <c r="P34" s="33"/>
      <c r="Q34" s="33"/>
      <c r="R34" s="33"/>
      <c r="S34" s="33"/>
      <c r="T34" s="33"/>
    </row>
    <row r="35" spans="2:20" ht="15.75" customHeight="1">
      <c r="B35" s="5"/>
      <c r="C35" s="5"/>
      <c r="D35" s="5"/>
      <c r="E35" s="5"/>
      <c r="F35" s="5"/>
      <c r="P35" s="33"/>
      <c r="Q35" s="33"/>
      <c r="R35" s="33"/>
      <c r="S35" s="33"/>
      <c r="T35" s="33"/>
    </row>
    <row r="36" spans="2:20" ht="15.75" customHeight="1">
      <c r="B36" s="5"/>
      <c r="C36" s="5"/>
      <c r="D36" s="5"/>
      <c r="E36" s="5"/>
      <c r="F36" s="5"/>
      <c r="P36" s="33"/>
      <c r="Q36" s="33"/>
      <c r="R36" s="33"/>
      <c r="S36" s="33"/>
      <c r="T36" s="33"/>
    </row>
    <row r="37" spans="2:20" ht="15.75" customHeight="1">
      <c r="B37" s="5"/>
      <c r="C37" s="5"/>
      <c r="D37" s="5"/>
      <c r="E37" s="5"/>
      <c r="F37" s="5"/>
      <c r="P37" s="33"/>
      <c r="Q37" s="33"/>
      <c r="R37" s="33"/>
      <c r="S37" s="33"/>
      <c r="T37" s="33"/>
    </row>
    <row r="38" spans="2:20" ht="15.75" customHeight="1">
      <c r="B38" s="5"/>
      <c r="C38" s="5"/>
      <c r="D38" s="5"/>
      <c r="E38" s="5"/>
      <c r="F38" s="5"/>
      <c r="P38" s="33"/>
      <c r="Q38" s="33"/>
      <c r="R38" s="33"/>
      <c r="S38" s="33"/>
      <c r="T38" s="33"/>
    </row>
    <row r="39" spans="2:20" ht="15.75" customHeight="1">
      <c r="B39" s="5"/>
      <c r="C39" s="5"/>
      <c r="D39" s="5"/>
      <c r="E39" s="5"/>
      <c r="F39" s="5"/>
      <c r="P39" s="33"/>
      <c r="Q39" s="33"/>
      <c r="R39" s="33"/>
      <c r="S39" s="33"/>
      <c r="T39" s="33"/>
    </row>
    <row r="40" spans="2:20" ht="15.75" customHeight="1">
      <c r="B40" s="5"/>
      <c r="C40" s="5"/>
      <c r="D40" s="5"/>
      <c r="E40" s="5"/>
      <c r="F40" s="5"/>
      <c r="P40" s="33"/>
      <c r="Q40" s="33"/>
      <c r="R40" s="33"/>
      <c r="S40" s="33"/>
      <c r="T40" s="33"/>
    </row>
    <row r="41" spans="2:20" ht="15.75" customHeight="1">
      <c r="B41" s="5"/>
      <c r="C41" s="5"/>
      <c r="D41" s="5"/>
      <c r="E41" s="5"/>
      <c r="F41" s="5"/>
      <c r="P41" s="33"/>
      <c r="Q41" s="33"/>
      <c r="R41" s="33"/>
      <c r="S41" s="33"/>
      <c r="T41" s="33"/>
    </row>
    <row r="42" spans="2:20" ht="15.75" customHeight="1">
      <c r="B42" s="5"/>
      <c r="C42" s="5"/>
      <c r="D42" s="5"/>
      <c r="E42" s="5"/>
      <c r="F42" s="5"/>
      <c r="P42" s="33"/>
      <c r="Q42" s="33"/>
      <c r="R42" s="33"/>
      <c r="S42" s="33"/>
      <c r="T42" s="33"/>
    </row>
    <row r="43" spans="2:20" ht="15.75" customHeight="1">
      <c r="B43" s="5"/>
      <c r="C43" s="5"/>
      <c r="D43" s="5"/>
      <c r="E43" s="5"/>
      <c r="F43" s="5"/>
      <c r="P43" s="33"/>
      <c r="Q43" s="33"/>
      <c r="R43" s="33"/>
      <c r="S43" s="33"/>
      <c r="T43" s="33"/>
    </row>
    <row r="44" spans="2:20" ht="15.75" customHeight="1">
      <c r="B44" s="5"/>
      <c r="C44" s="5"/>
      <c r="D44" s="5"/>
      <c r="E44" s="5"/>
      <c r="F44" s="5"/>
      <c r="P44" s="33"/>
      <c r="Q44" s="33"/>
      <c r="R44" s="33"/>
      <c r="S44" s="33"/>
      <c r="T44" s="33"/>
    </row>
    <row r="45" spans="2:20" ht="15.75" customHeight="1">
      <c r="B45" s="5"/>
      <c r="C45" s="5"/>
      <c r="D45" s="5"/>
      <c r="E45" s="5"/>
      <c r="F45" s="5"/>
      <c r="P45" s="33"/>
      <c r="Q45" s="33"/>
      <c r="R45" s="33"/>
      <c r="S45" s="33"/>
      <c r="T45" s="33"/>
    </row>
    <row r="46" spans="2:20" ht="15.75" customHeight="1">
      <c r="B46" s="5"/>
      <c r="C46" s="5"/>
      <c r="D46" s="5"/>
      <c r="E46" s="5"/>
      <c r="F46" s="5"/>
      <c r="P46" s="33"/>
      <c r="Q46" s="33"/>
      <c r="R46" s="33"/>
      <c r="S46" s="33"/>
      <c r="T46" s="33"/>
    </row>
    <row r="47" spans="2:20" ht="15.75" customHeight="1">
      <c r="B47" s="5"/>
      <c r="C47" s="5"/>
      <c r="D47" s="5"/>
      <c r="E47" s="5"/>
      <c r="F47" s="5"/>
      <c r="P47" s="33"/>
      <c r="Q47" s="33"/>
      <c r="R47" s="33"/>
      <c r="S47" s="33"/>
      <c r="T47" s="33"/>
    </row>
    <row r="48" spans="2:20" ht="15.75" customHeight="1">
      <c r="B48" s="5"/>
      <c r="C48" s="5"/>
      <c r="D48" s="5"/>
      <c r="E48" s="5"/>
      <c r="F48" s="5"/>
      <c r="P48" s="33"/>
      <c r="Q48" s="33"/>
      <c r="R48" s="33"/>
      <c r="S48" s="33"/>
      <c r="T48" s="33"/>
    </row>
    <row r="49" spans="2:20" ht="15.75" customHeight="1">
      <c r="B49" s="5"/>
      <c r="C49" s="5"/>
      <c r="D49" s="5"/>
      <c r="E49" s="5"/>
      <c r="F49" s="5"/>
      <c r="P49" s="33"/>
      <c r="Q49" s="33"/>
      <c r="R49" s="33"/>
      <c r="S49" s="33"/>
      <c r="T49" s="33"/>
    </row>
    <row r="50" spans="2:20" ht="15.75" customHeight="1">
      <c r="B50" s="5"/>
      <c r="C50" s="5"/>
      <c r="D50" s="5"/>
      <c r="E50" s="5"/>
      <c r="F50" s="5"/>
      <c r="P50" s="33"/>
      <c r="Q50" s="33"/>
      <c r="R50" s="33"/>
      <c r="S50" s="33"/>
      <c r="T50" s="33"/>
    </row>
    <row r="51" spans="2:20" ht="15.75" customHeight="1">
      <c r="B51" s="5"/>
      <c r="C51" s="5"/>
      <c r="D51" s="5"/>
      <c r="E51" s="5"/>
      <c r="F51" s="5"/>
      <c r="P51" s="33"/>
      <c r="Q51" s="33"/>
      <c r="R51" s="33"/>
      <c r="S51" s="33"/>
      <c r="T51" s="33"/>
    </row>
    <row r="52" spans="2:20" ht="15.75" customHeight="1">
      <c r="B52" s="5"/>
      <c r="C52" s="5"/>
      <c r="D52" s="5"/>
      <c r="E52" s="5"/>
      <c r="F52" s="5"/>
      <c r="P52" s="33"/>
      <c r="Q52" s="33"/>
      <c r="R52" s="33"/>
      <c r="S52" s="33"/>
      <c r="T52" s="33"/>
    </row>
    <row r="53" spans="2:20" ht="15.75" customHeight="1">
      <c r="B53" s="5"/>
      <c r="C53" s="5"/>
      <c r="D53" s="5"/>
      <c r="E53" s="5"/>
      <c r="F53" s="5"/>
      <c r="P53" s="33"/>
      <c r="Q53" s="33"/>
      <c r="R53" s="33"/>
      <c r="S53" s="33"/>
      <c r="T53" s="33"/>
    </row>
    <row r="54" spans="2:20" ht="15.75" customHeight="1">
      <c r="B54" s="5"/>
      <c r="C54" s="5"/>
      <c r="D54" s="5"/>
      <c r="E54" s="5"/>
      <c r="F54" s="5"/>
      <c r="P54" s="33"/>
      <c r="Q54" s="33"/>
      <c r="R54" s="33"/>
      <c r="S54" s="33"/>
      <c r="T54" s="33"/>
    </row>
    <row r="55" spans="2:20" ht="15.75" customHeight="1">
      <c r="B55" s="5"/>
      <c r="C55" s="5"/>
      <c r="D55" s="5"/>
      <c r="E55" s="5"/>
      <c r="F55" s="5"/>
      <c r="P55" s="33"/>
      <c r="Q55" s="33"/>
      <c r="R55" s="33"/>
      <c r="S55" s="33"/>
      <c r="T55" s="33"/>
    </row>
    <row r="56" spans="2:20" ht="15.75" customHeight="1">
      <c r="B56" s="5"/>
      <c r="C56" s="5"/>
      <c r="D56" s="5"/>
      <c r="E56" s="5"/>
      <c r="F56" s="5"/>
      <c r="P56" s="33"/>
      <c r="Q56" s="33"/>
      <c r="R56" s="33"/>
      <c r="S56" s="33"/>
      <c r="T56" s="33"/>
    </row>
    <row r="57" spans="2:20" ht="15.75" customHeight="1">
      <c r="B57" s="5"/>
      <c r="C57" s="5"/>
      <c r="D57" s="5"/>
      <c r="E57" s="5"/>
      <c r="F57" s="5"/>
      <c r="P57" s="33"/>
      <c r="Q57" s="33"/>
      <c r="R57" s="33"/>
      <c r="S57" s="33"/>
      <c r="T57" s="33"/>
    </row>
    <row r="58" spans="2:20" ht="15.75" customHeight="1">
      <c r="B58" s="5"/>
      <c r="C58" s="5"/>
      <c r="D58" s="5"/>
      <c r="E58" s="5"/>
      <c r="F58" s="5"/>
      <c r="P58" s="33"/>
      <c r="Q58" s="33"/>
      <c r="R58" s="33"/>
      <c r="S58" s="33"/>
      <c r="T58" s="33"/>
    </row>
    <row r="59" spans="2:20" ht="15.75" customHeight="1">
      <c r="B59" s="5"/>
      <c r="C59" s="5"/>
      <c r="D59" s="5"/>
      <c r="E59" s="5"/>
      <c r="F59" s="5"/>
      <c r="P59" s="33"/>
      <c r="Q59" s="33"/>
      <c r="R59" s="33"/>
      <c r="S59" s="33"/>
      <c r="T59" s="33"/>
    </row>
    <row r="60" spans="2:20" ht="15.75" customHeight="1">
      <c r="B60" s="5"/>
      <c r="C60" s="5"/>
      <c r="D60" s="5"/>
      <c r="E60" s="5"/>
      <c r="F60" s="5"/>
      <c r="P60" s="33"/>
      <c r="Q60" s="33"/>
      <c r="R60" s="33"/>
      <c r="S60" s="33"/>
      <c r="T60" s="33"/>
    </row>
    <row r="61" spans="2:20" ht="15.75" customHeight="1">
      <c r="B61" s="5"/>
      <c r="C61" s="5"/>
      <c r="D61" s="5"/>
      <c r="E61" s="5"/>
      <c r="F61" s="5"/>
      <c r="P61" s="33"/>
      <c r="Q61" s="33"/>
      <c r="R61" s="33"/>
      <c r="S61" s="33"/>
      <c r="T61" s="33"/>
    </row>
    <row r="62" spans="2:20" ht="15.75" customHeight="1">
      <c r="B62" s="5"/>
      <c r="C62" s="5"/>
      <c r="D62" s="5"/>
      <c r="E62" s="5"/>
      <c r="F62" s="5"/>
      <c r="P62" s="33"/>
      <c r="Q62" s="33"/>
      <c r="R62" s="33"/>
      <c r="S62" s="33"/>
      <c r="T62" s="33"/>
    </row>
    <row r="63" spans="2:20" ht="15.75" customHeight="1">
      <c r="B63" s="5"/>
      <c r="C63" s="5"/>
      <c r="D63" s="5"/>
      <c r="E63" s="5"/>
      <c r="F63" s="5"/>
      <c r="P63" s="33"/>
      <c r="Q63" s="33"/>
      <c r="R63" s="33"/>
      <c r="S63" s="33"/>
      <c r="T63" s="33"/>
    </row>
    <row r="64" spans="2:20" ht="15.75" customHeight="1">
      <c r="B64" s="5"/>
      <c r="C64" s="5"/>
      <c r="D64" s="5"/>
      <c r="E64" s="5"/>
      <c r="F64" s="5"/>
      <c r="P64" s="33"/>
      <c r="Q64" s="33"/>
      <c r="R64" s="33"/>
      <c r="S64" s="33"/>
      <c r="T64" s="33"/>
    </row>
    <row r="65" spans="2:20" ht="15.75" customHeight="1">
      <c r="B65" s="5"/>
      <c r="C65" s="5"/>
      <c r="D65" s="5"/>
      <c r="E65" s="5"/>
      <c r="F65" s="5"/>
      <c r="P65" s="33"/>
      <c r="Q65" s="33"/>
      <c r="R65" s="33"/>
      <c r="S65" s="33"/>
      <c r="T65" s="33"/>
    </row>
    <row r="66" spans="2:20" ht="15.75" customHeight="1">
      <c r="B66" s="5"/>
      <c r="C66" s="5"/>
      <c r="D66" s="5"/>
      <c r="E66" s="5"/>
      <c r="F66" s="5"/>
      <c r="P66" s="33"/>
      <c r="Q66" s="33"/>
      <c r="R66" s="33"/>
      <c r="S66" s="33"/>
      <c r="T66" s="33"/>
    </row>
    <row r="67" spans="2:20" ht="15.75" customHeight="1">
      <c r="B67" s="5"/>
      <c r="C67" s="5"/>
      <c r="D67" s="5"/>
      <c r="E67" s="5"/>
      <c r="F67" s="5"/>
      <c r="P67" s="33"/>
      <c r="Q67" s="33"/>
      <c r="R67" s="33"/>
      <c r="S67" s="33"/>
      <c r="T67" s="33"/>
    </row>
    <row r="68" spans="2:20" ht="15.75" customHeight="1">
      <c r="B68" s="5"/>
      <c r="C68" s="5"/>
      <c r="D68" s="5"/>
      <c r="E68" s="5"/>
      <c r="F68" s="5"/>
      <c r="P68" s="33"/>
      <c r="Q68" s="33"/>
      <c r="R68" s="33"/>
      <c r="S68" s="33"/>
      <c r="T68" s="33"/>
    </row>
    <row r="69" spans="2:20" ht="15.75" customHeight="1">
      <c r="B69" s="5"/>
      <c r="C69" s="5"/>
      <c r="D69" s="5"/>
      <c r="E69" s="5"/>
      <c r="F69" s="5"/>
      <c r="P69" s="33"/>
      <c r="Q69" s="33"/>
      <c r="R69" s="33"/>
      <c r="S69" s="33"/>
      <c r="T69" s="33"/>
    </row>
    <row r="70" spans="2:20" ht="15.75" customHeight="1">
      <c r="B70" s="5"/>
      <c r="C70" s="5"/>
      <c r="D70" s="5"/>
      <c r="E70" s="5"/>
      <c r="F70" s="5"/>
      <c r="P70" s="33"/>
      <c r="Q70" s="33"/>
      <c r="R70" s="33"/>
      <c r="S70" s="33"/>
      <c r="T70" s="33"/>
    </row>
    <row r="71" spans="2:20" ht="15.75" customHeight="1">
      <c r="B71" s="5"/>
      <c r="C71" s="5"/>
      <c r="D71" s="5"/>
      <c r="E71" s="5"/>
      <c r="F71" s="5"/>
      <c r="P71" s="33"/>
      <c r="Q71" s="33"/>
      <c r="R71" s="33"/>
      <c r="S71" s="33"/>
      <c r="T71" s="33"/>
    </row>
    <row r="72" spans="2:20" ht="15.75" customHeight="1">
      <c r="B72" s="5"/>
      <c r="C72" s="5"/>
      <c r="D72" s="5"/>
      <c r="E72" s="5"/>
      <c r="F72" s="5"/>
      <c r="P72" s="33"/>
      <c r="Q72" s="33"/>
      <c r="R72" s="33"/>
      <c r="S72" s="33"/>
      <c r="T72" s="33"/>
    </row>
    <row r="73" spans="2:20" ht="15.75" customHeight="1">
      <c r="B73" s="5"/>
      <c r="C73" s="5"/>
      <c r="D73" s="5"/>
      <c r="E73" s="5"/>
      <c r="F73" s="5"/>
      <c r="P73" s="33"/>
      <c r="Q73" s="33"/>
      <c r="R73" s="33"/>
      <c r="S73" s="33"/>
      <c r="T73" s="33"/>
    </row>
    <row r="74" spans="2:20" ht="15.75" customHeight="1">
      <c r="B74" s="5"/>
      <c r="C74" s="5"/>
      <c r="D74" s="5"/>
      <c r="E74" s="5"/>
      <c r="F74" s="5"/>
      <c r="P74" s="33"/>
      <c r="Q74" s="33"/>
      <c r="R74" s="33"/>
      <c r="S74" s="33"/>
      <c r="T74" s="33"/>
    </row>
    <row r="75" spans="2:20" ht="15.75" customHeight="1">
      <c r="B75" s="5"/>
      <c r="C75" s="5"/>
      <c r="D75" s="5"/>
      <c r="E75" s="5"/>
      <c r="F75" s="5"/>
      <c r="P75" s="33"/>
      <c r="Q75" s="33"/>
      <c r="R75" s="33"/>
      <c r="S75" s="33"/>
      <c r="T75" s="33"/>
    </row>
    <row r="76" spans="2:20" ht="15.75" customHeight="1">
      <c r="B76" s="5"/>
      <c r="C76" s="5"/>
      <c r="D76" s="5"/>
      <c r="E76" s="5"/>
      <c r="F76" s="5"/>
      <c r="P76" s="33"/>
      <c r="Q76" s="33"/>
      <c r="R76" s="33"/>
      <c r="S76" s="33"/>
      <c r="T76" s="33"/>
    </row>
    <row r="77" spans="2:20" ht="15.75" customHeight="1">
      <c r="B77" s="5"/>
      <c r="C77" s="5"/>
      <c r="D77" s="5"/>
      <c r="E77" s="5"/>
      <c r="F77" s="5"/>
      <c r="P77" s="33"/>
      <c r="Q77" s="33"/>
      <c r="R77" s="33"/>
      <c r="S77" s="33"/>
      <c r="T77" s="33"/>
    </row>
    <row r="78" spans="2:20" ht="15.75" customHeight="1">
      <c r="B78" s="5"/>
      <c r="C78" s="5"/>
      <c r="D78" s="5"/>
      <c r="E78" s="5"/>
      <c r="F78" s="5"/>
      <c r="P78" s="33"/>
      <c r="Q78" s="33"/>
      <c r="R78" s="33"/>
      <c r="S78" s="33"/>
      <c r="T78" s="33"/>
    </row>
    <row r="79" spans="2:20" ht="15.75" customHeight="1">
      <c r="B79" s="5"/>
      <c r="C79" s="5"/>
      <c r="D79" s="5"/>
      <c r="E79" s="5"/>
      <c r="F79" s="5"/>
      <c r="P79" s="33"/>
      <c r="Q79" s="33"/>
      <c r="R79" s="33"/>
      <c r="S79" s="33"/>
      <c r="T79" s="33"/>
    </row>
    <row r="80" spans="2:20" ht="15.75" customHeight="1">
      <c r="B80" s="5"/>
      <c r="C80" s="5"/>
      <c r="D80" s="5"/>
      <c r="E80" s="5"/>
      <c r="F80" s="5"/>
      <c r="P80" s="33"/>
      <c r="Q80" s="33"/>
      <c r="R80" s="33"/>
      <c r="S80" s="33"/>
      <c r="T80" s="33"/>
    </row>
    <row r="81" spans="2:20" ht="15.75" customHeight="1">
      <c r="B81" s="5"/>
      <c r="C81" s="5"/>
      <c r="D81" s="5"/>
      <c r="E81" s="5"/>
      <c r="F81" s="5"/>
      <c r="P81" s="33"/>
      <c r="Q81" s="33"/>
      <c r="R81" s="33"/>
      <c r="S81" s="33"/>
      <c r="T81" s="33"/>
    </row>
    <row r="82" spans="2:20" ht="15.75" customHeight="1">
      <c r="B82" s="5"/>
      <c r="C82" s="5"/>
      <c r="D82" s="5"/>
      <c r="E82" s="5"/>
      <c r="F82" s="5"/>
      <c r="P82" s="33"/>
      <c r="Q82" s="33"/>
      <c r="R82" s="33"/>
      <c r="S82" s="33"/>
      <c r="T82" s="33"/>
    </row>
    <row r="83" spans="2:20" ht="15.75" customHeight="1">
      <c r="B83" s="5"/>
      <c r="C83" s="5"/>
      <c r="D83" s="5"/>
      <c r="E83" s="5"/>
      <c r="F83" s="5"/>
      <c r="P83" s="33"/>
      <c r="Q83" s="33"/>
      <c r="R83" s="33"/>
      <c r="S83" s="33"/>
      <c r="T83" s="33"/>
    </row>
    <row r="84" spans="2:20" ht="15.75" customHeight="1">
      <c r="B84" s="5"/>
      <c r="C84" s="5"/>
      <c r="D84" s="5"/>
      <c r="E84" s="5"/>
      <c r="F84" s="5"/>
      <c r="P84" s="33"/>
      <c r="Q84" s="33"/>
      <c r="R84" s="33"/>
      <c r="S84" s="33"/>
      <c r="T84" s="33"/>
    </row>
    <row r="85" spans="2:20" ht="15.75" customHeight="1">
      <c r="B85" s="5"/>
      <c r="C85" s="5"/>
      <c r="D85" s="5"/>
      <c r="E85" s="5"/>
      <c r="F85" s="5"/>
      <c r="P85" s="33"/>
      <c r="Q85" s="33"/>
      <c r="R85" s="33"/>
      <c r="S85" s="33"/>
      <c r="T85" s="33"/>
    </row>
    <row r="86" spans="2:20" ht="15.75" customHeight="1">
      <c r="B86" s="5"/>
      <c r="C86" s="5"/>
      <c r="D86" s="5"/>
      <c r="E86" s="5"/>
      <c r="F86" s="5"/>
      <c r="P86" s="33"/>
      <c r="Q86" s="33"/>
      <c r="R86" s="33"/>
      <c r="S86" s="33"/>
      <c r="T86" s="33"/>
    </row>
    <row r="87" spans="2:20" ht="15.75" customHeight="1">
      <c r="B87" s="5"/>
      <c r="C87" s="5"/>
      <c r="D87" s="5"/>
      <c r="E87" s="5"/>
      <c r="F87" s="5"/>
      <c r="P87" s="33"/>
      <c r="Q87" s="33"/>
      <c r="R87" s="33"/>
      <c r="S87" s="33"/>
      <c r="T87" s="33"/>
    </row>
    <row r="88" spans="2:20" ht="15.75" customHeight="1">
      <c r="B88" s="5"/>
      <c r="C88" s="5"/>
      <c r="D88" s="5"/>
      <c r="E88" s="5"/>
      <c r="F88" s="5"/>
      <c r="P88" s="33"/>
      <c r="Q88" s="33"/>
      <c r="R88" s="33"/>
      <c r="S88" s="33"/>
      <c r="T88" s="33"/>
    </row>
    <row r="89" spans="2:20" ht="15.75" customHeight="1">
      <c r="B89" s="5"/>
      <c r="C89" s="5"/>
      <c r="D89" s="5"/>
      <c r="E89" s="5"/>
      <c r="F89" s="5"/>
      <c r="P89" s="33"/>
      <c r="Q89" s="33"/>
      <c r="R89" s="33"/>
      <c r="S89" s="33"/>
      <c r="T89" s="33"/>
    </row>
    <row r="90" spans="2:20" ht="15.75" customHeight="1">
      <c r="B90" s="5"/>
      <c r="C90" s="5"/>
      <c r="D90" s="5"/>
      <c r="E90" s="5"/>
      <c r="F90" s="5"/>
      <c r="P90" s="33"/>
      <c r="Q90" s="33"/>
      <c r="R90" s="33"/>
      <c r="S90" s="33"/>
      <c r="T90" s="33"/>
    </row>
    <row r="91" spans="2:20" ht="15.75" customHeight="1">
      <c r="B91" s="5"/>
      <c r="C91" s="5"/>
      <c r="D91" s="5"/>
      <c r="E91" s="5"/>
      <c r="F91" s="5"/>
      <c r="P91" s="33"/>
      <c r="Q91" s="33"/>
      <c r="R91" s="33"/>
      <c r="S91" s="33"/>
      <c r="T91" s="33"/>
    </row>
    <row r="92" spans="2:20" ht="15.75" customHeight="1">
      <c r="B92" s="5"/>
      <c r="C92" s="5"/>
      <c r="D92" s="5"/>
      <c r="E92" s="5"/>
      <c r="F92" s="5"/>
      <c r="P92" s="33"/>
      <c r="Q92" s="33"/>
      <c r="R92" s="33"/>
      <c r="S92" s="33"/>
      <c r="T92" s="33"/>
    </row>
    <row r="93" spans="2:20" ht="15.75" customHeight="1">
      <c r="B93" s="5"/>
      <c r="C93" s="5"/>
      <c r="D93" s="5"/>
      <c r="E93" s="5"/>
      <c r="F93" s="5"/>
      <c r="P93" s="33"/>
      <c r="Q93" s="33"/>
      <c r="R93" s="33"/>
      <c r="S93" s="33"/>
      <c r="T93" s="33"/>
    </row>
    <row r="94" spans="2:20" ht="15.75" customHeight="1">
      <c r="B94" s="5"/>
      <c r="C94" s="5"/>
      <c r="D94" s="5"/>
      <c r="E94" s="5"/>
      <c r="F94" s="5"/>
      <c r="P94" s="33"/>
      <c r="Q94" s="33"/>
      <c r="R94" s="33"/>
      <c r="S94" s="33"/>
      <c r="T94" s="33"/>
    </row>
    <row r="95" spans="2:20" ht="15.75" customHeight="1">
      <c r="B95" s="5"/>
      <c r="C95" s="5"/>
      <c r="D95" s="5"/>
      <c r="E95" s="5"/>
      <c r="F95" s="5"/>
      <c r="P95" s="33"/>
      <c r="Q95" s="33"/>
      <c r="R95" s="33"/>
      <c r="S95" s="33"/>
      <c r="T95" s="33"/>
    </row>
    <row r="96" spans="2:20" ht="15.75" customHeight="1">
      <c r="B96" s="5"/>
      <c r="C96" s="5"/>
      <c r="D96" s="5"/>
      <c r="E96" s="5"/>
      <c r="F96" s="5"/>
      <c r="P96" s="33"/>
      <c r="Q96" s="33"/>
      <c r="R96" s="33"/>
      <c r="S96" s="33"/>
      <c r="T96" s="33"/>
    </row>
    <row r="97" spans="2:20" ht="15.75" customHeight="1">
      <c r="B97" s="5"/>
      <c r="C97" s="5"/>
      <c r="D97" s="5"/>
      <c r="E97" s="5"/>
      <c r="F97" s="5"/>
      <c r="P97" s="33"/>
      <c r="Q97" s="33"/>
      <c r="R97" s="33"/>
      <c r="S97" s="33"/>
      <c r="T97" s="33"/>
    </row>
    <row r="98" spans="2:20" ht="15.75" customHeight="1">
      <c r="B98" s="5"/>
      <c r="C98" s="5"/>
      <c r="D98" s="5"/>
      <c r="E98" s="5"/>
      <c r="F98" s="5"/>
      <c r="P98" s="33"/>
      <c r="Q98" s="33"/>
      <c r="R98" s="33"/>
      <c r="S98" s="33"/>
      <c r="T98" s="33"/>
    </row>
    <row r="99" spans="2:20" ht="15.75" customHeight="1">
      <c r="B99" s="5"/>
      <c r="C99" s="5"/>
      <c r="D99" s="5"/>
      <c r="E99" s="5"/>
      <c r="F99" s="5"/>
      <c r="P99" s="33"/>
      <c r="Q99" s="33"/>
      <c r="R99" s="33"/>
      <c r="S99" s="33"/>
      <c r="T99" s="33"/>
    </row>
    <row r="100" spans="2:20" ht="15.75" customHeight="1">
      <c r="B100" s="5"/>
      <c r="C100" s="5"/>
      <c r="D100" s="5"/>
      <c r="E100" s="5"/>
      <c r="F100" s="5"/>
      <c r="P100" s="33"/>
      <c r="Q100" s="33"/>
      <c r="R100" s="33"/>
      <c r="S100" s="33"/>
      <c r="T100" s="33"/>
    </row>
    <row r="101" spans="2:20" ht="15.75" customHeight="1">
      <c r="B101" s="5"/>
      <c r="C101" s="5"/>
      <c r="D101" s="5"/>
      <c r="E101" s="5"/>
      <c r="F101" s="5"/>
      <c r="P101" s="33"/>
      <c r="Q101" s="33"/>
      <c r="R101" s="33"/>
      <c r="S101" s="33"/>
      <c r="T101" s="33"/>
    </row>
    <row r="102" spans="2:20" ht="15.75" customHeight="1">
      <c r="B102" s="5"/>
      <c r="C102" s="5"/>
      <c r="D102" s="5"/>
      <c r="E102" s="5"/>
      <c r="F102" s="5"/>
      <c r="P102" s="33"/>
      <c r="Q102" s="33"/>
      <c r="R102" s="33"/>
      <c r="S102" s="33"/>
      <c r="T102" s="33"/>
    </row>
    <row r="103" spans="2:20" ht="15.75" customHeight="1">
      <c r="B103" s="5"/>
      <c r="C103" s="5"/>
      <c r="D103" s="5"/>
      <c r="E103" s="5"/>
      <c r="F103" s="5"/>
      <c r="P103" s="33"/>
      <c r="Q103" s="33"/>
      <c r="R103" s="33"/>
      <c r="S103" s="33"/>
      <c r="T103" s="33"/>
    </row>
    <row r="104" spans="2:20" ht="15.75" customHeight="1">
      <c r="B104" s="5"/>
      <c r="C104" s="5"/>
      <c r="D104" s="5"/>
      <c r="E104" s="5"/>
      <c r="F104" s="5"/>
      <c r="P104" s="33"/>
      <c r="Q104" s="33"/>
      <c r="R104" s="33"/>
      <c r="S104" s="33"/>
      <c r="T104" s="33"/>
    </row>
    <row r="105" spans="2:20" ht="15.75" customHeight="1">
      <c r="B105" s="5"/>
      <c r="C105" s="5"/>
      <c r="D105" s="5"/>
      <c r="E105" s="5"/>
      <c r="F105" s="5"/>
      <c r="P105" s="33"/>
      <c r="Q105" s="33"/>
      <c r="R105" s="33"/>
      <c r="S105" s="33"/>
      <c r="T105" s="33"/>
    </row>
    <row r="106" spans="2:20" ht="15.75" customHeight="1">
      <c r="B106" s="5"/>
      <c r="C106" s="5"/>
      <c r="D106" s="5"/>
      <c r="E106" s="5"/>
      <c r="F106" s="5"/>
      <c r="P106" s="33"/>
      <c r="Q106" s="33"/>
      <c r="R106" s="33"/>
      <c r="S106" s="33"/>
      <c r="T106" s="33"/>
    </row>
    <row r="107" spans="2:20" ht="15.75" customHeight="1">
      <c r="B107" s="5"/>
      <c r="C107" s="5"/>
      <c r="D107" s="5"/>
      <c r="E107" s="5"/>
      <c r="F107" s="5"/>
      <c r="P107" s="33"/>
      <c r="Q107" s="33"/>
      <c r="R107" s="33"/>
      <c r="S107" s="33"/>
      <c r="T107" s="33"/>
    </row>
    <row r="108" spans="2:20" ht="15.75" customHeight="1">
      <c r="B108" s="5"/>
      <c r="C108" s="5"/>
      <c r="D108" s="5"/>
      <c r="E108" s="5"/>
      <c r="F108" s="5"/>
      <c r="P108" s="33"/>
      <c r="Q108" s="33"/>
      <c r="R108" s="33"/>
      <c r="S108" s="33"/>
      <c r="T108" s="33"/>
    </row>
    <row r="109" spans="2:20" ht="15.75" customHeight="1">
      <c r="B109" s="5"/>
      <c r="C109" s="5"/>
      <c r="D109" s="5"/>
      <c r="E109" s="5"/>
      <c r="F109" s="5"/>
      <c r="P109" s="33"/>
      <c r="Q109" s="33"/>
      <c r="R109" s="33"/>
      <c r="S109" s="33"/>
      <c r="T109" s="33"/>
    </row>
    <row r="110" spans="2:20" ht="15.75" customHeight="1">
      <c r="B110" s="5"/>
      <c r="C110" s="5"/>
      <c r="D110" s="5"/>
      <c r="E110" s="5"/>
      <c r="F110" s="5"/>
      <c r="P110" s="33"/>
      <c r="Q110" s="33"/>
      <c r="R110" s="33"/>
      <c r="S110" s="33"/>
      <c r="T110" s="33"/>
    </row>
    <row r="111" spans="2:20" ht="15.75" customHeight="1">
      <c r="B111" s="5"/>
      <c r="C111" s="5"/>
      <c r="D111" s="5"/>
      <c r="E111" s="5"/>
      <c r="F111" s="5"/>
      <c r="P111" s="33"/>
      <c r="Q111" s="33"/>
      <c r="R111" s="33"/>
      <c r="S111" s="33"/>
      <c r="T111" s="33"/>
    </row>
    <row r="112" spans="2:20" ht="15.75" customHeight="1">
      <c r="B112" s="5"/>
      <c r="C112" s="5"/>
      <c r="D112" s="5"/>
      <c r="E112" s="5"/>
      <c r="F112" s="5"/>
      <c r="P112" s="33"/>
      <c r="Q112" s="33"/>
      <c r="R112" s="33"/>
      <c r="S112" s="33"/>
      <c r="T112" s="33"/>
    </row>
    <row r="113" spans="2:20" ht="15.75" customHeight="1">
      <c r="B113" s="5"/>
      <c r="C113" s="5"/>
      <c r="D113" s="5"/>
      <c r="E113" s="5"/>
      <c r="F113" s="5"/>
      <c r="P113" s="33"/>
      <c r="Q113" s="33"/>
      <c r="R113" s="33"/>
      <c r="S113" s="33"/>
      <c r="T113" s="33"/>
    </row>
    <row r="114" spans="2:20" ht="15.75" customHeight="1">
      <c r="B114" s="5"/>
      <c r="C114" s="5"/>
      <c r="D114" s="5"/>
      <c r="E114" s="5"/>
      <c r="F114" s="5"/>
      <c r="P114" s="33"/>
      <c r="Q114" s="33"/>
      <c r="R114" s="33"/>
      <c r="S114" s="33"/>
      <c r="T114" s="33"/>
    </row>
    <row r="115" spans="2:20" ht="15.75" customHeight="1">
      <c r="B115" s="5"/>
      <c r="C115" s="5"/>
      <c r="D115" s="5"/>
      <c r="E115" s="5"/>
      <c r="F115" s="5"/>
      <c r="P115" s="33"/>
      <c r="Q115" s="33"/>
      <c r="R115" s="33"/>
      <c r="S115" s="33"/>
      <c r="T115" s="33"/>
    </row>
    <row r="116" spans="2:20" ht="15.75" customHeight="1">
      <c r="B116" s="5"/>
      <c r="C116" s="5"/>
      <c r="D116" s="5"/>
      <c r="E116" s="5"/>
      <c r="F116" s="5"/>
      <c r="P116" s="33"/>
      <c r="Q116" s="33"/>
      <c r="R116" s="33"/>
      <c r="S116" s="33"/>
      <c r="T116" s="33"/>
    </row>
    <row r="117" spans="2:20" ht="15.75" customHeight="1">
      <c r="B117" s="5"/>
      <c r="C117" s="5"/>
      <c r="D117" s="5"/>
      <c r="E117" s="5"/>
      <c r="F117" s="5"/>
      <c r="P117" s="33"/>
      <c r="Q117" s="33"/>
      <c r="R117" s="33"/>
      <c r="S117" s="33"/>
      <c r="T117" s="33"/>
    </row>
    <row r="118" spans="2:20" ht="15.75" customHeight="1">
      <c r="B118" s="5"/>
      <c r="C118" s="5"/>
      <c r="D118" s="5"/>
      <c r="E118" s="5"/>
      <c r="F118" s="5"/>
      <c r="P118" s="33"/>
      <c r="Q118" s="33"/>
      <c r="R118" s="33"/>
      <c r="S118" s="33"/>
      <c r="T118" s="33"/>
    </row>
    <row r="119" spans="2:20" ht="15.75" customHeight="1">
      <c r="B119" s="5"/>
      <c r="C119" s="5"/>
      <c r="D119" s="5"/>
      <c r="E119" s="5"/>
      <c r="F119" s="5"/>
      <c r="P119" s="33"/>
      <c r="Q119" s="33"/>
      <c r="R119" s="33"/>
      <c r="S119" s="33"/>
      <c r="T119" s="33"/>
    </row>
    <row r="120" spans="2:20" ht="15.75" customHeight="1">
      <c r="B120" s="5"/>
      <c r="C120" s="5"/>
      <c r="D120" s="5"/>
      <c r="E120" s="5"/>
      <c r="F120" s="5"/>
      <c r="P120" s="33"/>
      <c r="Q120" s="33"/>
      <c r="R120" s="33"/>
      <c r="S120" s="33"/>
      <c r="T120" s="33"/>
    </row>
    <row r="121" spans="2:20" ht="15.75" customHeight="1">
      <c r="B121" s="5"/>
      <c r="C121" s="5"/>
      <c r="D121" s="5"/>
      <c r="E121" s="5"/>
      <c r="F121" s="5"/>
      <c r="P121" s="33"/>
      <c r="Q121" s="33"/>
      <c r="R121" s="33"/>
      <c r="S121" s="33"/>
      <c r="T121" s="33"/>
    </row>
    <row r="122" spans="2:20" ht="15.75" customHeight="1">
      <c r="B122" s="5"/>
      <c r="C122" s="5"/>
      <c r="D122" s="5"/>
      <c r="E122" s="5"/>
      <c r="F122" s="5"/>
      <c r="P122" s="33"/>
      <c r="Q122" s="33"/>
      <c r="R122" s="33"/>
      <c r="S122" s="33"/>
      <c r="T122" s="33"/>
    </row>
    <row r="123" spans="2:20" ht="15.75" customHeight="1">
      <c r="B123" s="5"/>
      <c r="C123" s="5"/>
      <c r="D123" s="5"/>
      <c r="E123" s="5"/>
      <c r="F123" s="5"/>
      <c r="P123" s="33"/>
      <c r="Q123" s="33"/>
      <c r="R123" s="33"/>
      <c r="S123" s="33"/>
      <c r="T123" s="33"/>
    </row>
    <row r="124" spans="2:20" ht="15.75" customHeight="1">
      <c r="B124" s="5"/>
      <c r="C124" s="5"/>
      <c r="D124" s="5"/>
      <c r="E124" s="5"/>
      <c r="F124" s="5"/>
      <c r="P124" s="33"/>
      <c r="Q124" s="33"/>
      <c r="R124" s="33"/>
      <c r="S124" s="33"/>
      <c r="T124" s="33"/>
    </row>
    <row r="125" spans="2:20" ht="15.75" customHeight="1">
      <c r="B125" s="5"/>
      <c r="C125" s="5"/>
      <c r="D125" s="5"/>
      <c r="E125" s="5"/>
      <c r="F125" s="5"/>
      <c r="P125" s="33"/>
      <c r="Q125" s="33"/>
      <c r="R125" s="33"/>
      <c r="S125" s="33"/>
      <c r="T125" s="33"/>
    </row>
    <row r="126" spans="2:20" ht="15.75" customHeight="1">
      <c r="B126" s="5"/>
      <c r="C126" s="5"/>
      <c r="D126" s="5"/>
      <c r="E126" s="5"/>
      <c r="F126" s="5"/>
      <c r="P126" s="33"/>
      <c r="Q126" s="33"/>
      <c r="R126" s="33"/>
      <c r="S126" s="33"/>
      <c r="T126" s="33"/>
    </row>
    <row r="127" spans="2:20" ht="15.75" customHeight="1">
      <c r="B127" s="5"/>
      <c r="C127" s="5"/>
      <c r="D127" s="5"/>
      <c r="E127" s="5"/>
      <c r="F127" s="5"/>
      <c r="P127" s="33"/>
      <c r="Q127" s="33"/>
      <c r="R127" s="33"/>
      <c r="S127" s="33"/>
      <c r="T127" s="33"/>
    </row>
    <row r="128" spans="2:20" ht="15.75" customHeight="1">
      <c r="B128" s="5"/>
      <c r="C128" s="5"/>
      <c r="D128" s="5"/>
      <c r="E128" s="5"/>
      <c r="F128" s="5"/>
      <c r="P128" s="33"/>
      <c r="Q128" s="33"/>
      <c r="R128" s="33"/>
      <c r="S128" s="33"/>
      <c r="T128" s="33"/>
    </row>
    <row r="129" spans="2:20" ht="15.75" customHeight="1">
      <c r="B129" s="5"/>
      <c r="C129" s="5"/>
      <c r="D129" s="5"/>
      <c r="E129" s="5"/>
      <c r="F129" s="5"/>
      <c r="P129" s="33"/>
      <c r="Q129" s="33"/>
      <c r="R129" s="33"/>
      <c r="S129" s="33"/>
      <c r="T129" s="33"/>
    </row>
    <row r="130" spans="2:20" ht="15.75" customHeight="1">
      <c r="B130" s="5"/>
      <c r="C130" s="5"/>
      <c r="D130" s="5"/>
      <c r="E130" s="5"/>
      <c r="F130" s="5"/>
      <c r="P130" s="33"/>
      <c r="Q130" s="33"/>
      <c r="R130" s="33"/>
      <c r="S130" s="33"/>
      <c r="T130" s="33"/>
    </row>
    <row r="131" spans="2:20" ht="15.75" customHeight="1">
      <c r="B131" s="5"/>
      <c r="C131" s="5"/>
      <c r="D131" s="5"/>
      <c r="E131" s="5"/>
      <c r="F131" s="5"/>
      <c r="P131" s="33"/>
      <c r="Q131" s="33"/>
      <c r="R131" s="33"/>
      <c r="S131" s="33"/>
      <c r="T131" s="33"/>
    </row>
    <row r="132" spans="2:20" ht="15.75" customHeight="1">
      <c r="B132" s="5"/>
      <c r="C132" s="5"/>
      <c r="D132" s="5"/>
      <c r="E132" s="5"/>
      <c r="F132" s="5"/>
      <c r="P132" s="33"/>
      <c r="Q132" s="33"/>
      <c r="R132" s="33"/>
      <c r="S132" s="33"/>
      <c r="T132" s="33"/>
    </row>
    <row r="133" spans="2:20" ht="15.75" customHeight="1">
      <c r="B133" s="5"/>
      <c r="C133" s="5"/>
      <c r="D133" s="5"/>
      <c r="E133" s="5"/>
      <c r="F133" s="5"/>
      <c r="P133" s="33"/>
      <c r="Q133" s="33"/>
      <c r="R133" s="33"/>
      <c r="S133" s="33"/>
      <c r="T133" s="33"/>
    </row>
    <row r="134" spans="2:20" ht="15.75" customHeight="1">
      <c r="B134" s="5"/>
      <c r="C134" s="5"/>
      <c r="D134" s="5"/>
      <c r="E134" s="5"/>
      <c r="F134" s="5"/>
      <c r="P134" s="33"/>
      <c r="Q134" s="33"/>
      <c r="R134" s="33"/>
      <c r="S134" s="33"/>
      <c r="T134" s="33"/>
    </row>
    <row r="135" spans="2:20" ht="15.75" customHeight="1">
      <c r="B135" s="5"/>
      <c r="C135" s="5"/>
      <c r="D135" s="5"/>
      <c r="E135" s="5"/>
      <c r="F135" s="5"/>
      <c r="P135" s="33"/>
      <c r="Q135" s="33"/>
      <c r="R135" s="33"/>
      <c r="S135" s="33"/>
      <c r="T135" s="33"/>
    </row>
    <row r="136" spans="2:20" ht="15.75" customHeight="1">
      <c r="B136" s="5"/>
      <c r="C136" s="5"/>
      <c r="D136" s="5"/>
      <c r="E136" s="5"/>
      <c r="F136" s="5"/>
      <c r="P136" s="33"/>
      <c r="Q136" s="33"/>
      <c r="R136" s="33"/>
      <c r="S136" s="33"/>
      <c r="T136" s="33"/>
    </row>
    <row r="137" spans="2:20" ht="15.75" customHeight="1">
      <c r="B137" s="5"/>
      <c r="C137" s="5"/>
      <c r="D137" s="5"/>
      <c r="E137" s="5"/>
      <c r="F137" s="5"/>
      <c r="P137" s="33"/>
      <c r="Q137" s="33"/>
      <c r="R137" s="33"/>
      <c r="S137" s="33"/>
      <c r="T137" s="33"/>
    </row>
    <row r="138" spans="2:20" ht="15.75" customHeight="1">
      <c r="B138" s="5"/>
      <c r="C138" s="5"/>
      <c r="D138" s="5"/>
      <c r="E138" s="5"/>
      <c r="F138" s="5"/>
      <c r="P138" s="33"/>
      <c r="Q138" s="33"/>
      <c r="R138" s="33"/>
      <c r="S138" s="33"/>
      <c r="T138" s="33"/>
    </row>
    <row r="139" spans="2:20" ht="15.75" customHeight="1">
      <c r="B139" s="5"/>
      <c r="C139" s="5"/>
      <c r="D139" s="5"/>
      <c r="E139" s="5"/>
      <c r="F139" s="5"/>
      <c r="P139" s="33"/>
      <c r="Q139" s="33"/>
      <c r="R139" s="33"/>
      <c r="S139" s="33"/>
      <c r="T139" s="33"/>
    </row>
    <row r="140" spans="2:20" ht="15.75" customHeight="1">
      <c r="B140" s="5"/>
      <c r="C140" s="5"/>
      <c r="D140" s="5"/>
      <c r="E140" s="5"/>
      <c r="F140" s="5"/>
      <c r="P140" s="33"/>
      <c r="Q140" s="33"/>
      <c r="R140" s="33"/>
      <c r="S140" s="33"/>
      <c r="T140" s="33"/>
    </row>
    <row r="141" spans="2:20" ht="15.75" customHeight="1">
      <c r="B141" s="5"/>
      <c r="C141" s="5"/>
      <c r="D141" s="5"/>
      <c r="E141" s="5"/>
      <c r="F141" s="5"/>
      <c r="P141" s="33"/>
      <c r="Q141" s="33"/>
      <c r="R141" s="33"/>
      <c r="S141" s="33"/>
      <c r="T141" s="33"/>
    </row>
    <row r="142" spans="2:20" ht="15.75" customHeight="1">
      <c r="B142" s="5"/>
      <c r="C142" s="5"/>
      <c r="D142" s="5"/>
      <c r="E142" s="5"/>
      <c r="F142" s="5"/>
      <c r="P142" s="33"/>
      <c r="Q142" s="33"/>
      <c r="R142" s="33"/>
      <c r="S142" s="33"/>
      <c r="T142" s="33"/>
    </row>
    <row r="143" spans="2:20" ht="15.75" customHeight="1">
      <c r="B143" s="5"/>
      <c r="C143" s="5"/>
      <c r="D143" s="5"/>
      <c r="E143" s="5"/>
      <c r="F143" s="5"/>
      <c r="P143" s="33"/>
      <c r="Q143" s="33"/>
      <c r="R143" s="33"/>
      <c r="S143" s="33"/>
      <c r="T143" s="33"/>
    </row>
    <row r="144" spans="2:20" ht="15.75" customHeight="1">
      <c r="B144" s="5"/>
      <c r="C144" s="5"/>
      <c r="D144" s="5"/>
      <c r="E144" s="5"/>
      <c r="F144" s="5"/>
      <c r="P144" s="33"/>
      <c r="Q144" s="33"/>
      <c r="R144" s="33"/>
      <c r="S144" s="33"/>
      <c r="T144" s="33"/>
    </row>
    <row r="145" spans="2:20" ht="15.75" customHeight="1">
      <c r="B145" s="5"/>
      <c r="C145" s="5"/>
      <c r="D145" s="5"/>
      <c r="E145" s="5"/>
      <c r="F145" s="5"/>
      <c r="P145" s="33"/>
      <c r="Q145" s="33"/>
      <c r="R145" s="33"/>
      <c r="S145" s="33"/>
      <c r="T145" s="33"/>
    </row>
    <row r="146" spans="2:20" ht="15.75" customHeight="1">
      <c r="B146" s="5"/>
      <c r="C146" s="5"/>
      <c r="D146" s="5"/>
      <c r="E146" s="5"/>
      <c r="F146" s="5"/>
      <c r="P146" s="33"/>
      <c r="Q146" s="33"/>
      <c r="R146" s="33"/>
      <c r="S146" s="33"/>
      <c r="T146" s="33"/>
    </row>
    <row r="147" spans="2:20" ht="15.75" customHeight="1">
      <c r="B147" s="5"/>
      <c r="C147" s="5"/>
      <c r="D147" s="5"/>
      <c r="E147" s="5"/>
      <c r="F147" s="5"/>
      <c r="P147" s="33"/>
      <c r="Q147" s="33"/>
      <c r="R147" s="33"/>
      <c r="S147" s="33"/>
      <c r="T147" s="33"/>
    </row>
    <row r="148" spans="2:20" ht="15.75" customHeight="1">
      <c r="B148" s="5"/>
      <c r="C148" s="5"/>
      <c r="D148" s="5"/>
      <c r="E148" s="5"/>
      <c r="F148" s="5"/>
      <c r="P148" s="33"/>
      <c r="Q148" s="33"/>
      <c r="R148" s="33"/>
      <c r="S148" s="33"/>
      <c r="T148" s="33"/>
    </row>
    <row r="149" spans="2:20" ht="15.75" customHeight="1">
      <c r="B149" s="5"/>
      <c r="C149" s="5"/>
      <c r="D149" s="5"/>
      <c r="E149" s="5"/>
      <c r="F149" s="5"/>
      <c r="P149" s="33"/>
      <c r="Q149" s="33"/>
      <c r="R149" s="33"/>
      <c r="S149" s="33"/>
      <c r="T149" s="33"/>
    </row>
    <row r="150" spans="2:20" ht="15.75" customHeight="1">
      <c r="B150" s="5"/>
      <c r="C150" s="5"/>
      <c r="D150" s="5"/>
      <c r="E150" s="5"/>
      <c r="F150" s="5"/>
      <c r="P150" s="33"/>
      <c r="Q150" s="33"/>
      <c r="R150" s="33"/>
      <c r="S150" s="33"/>
      <c r="T150" s="33"/>
    </row>
    <row r="151" spans="2:20" ht="15.75" customHeight="1">
      <c r="B151" s="5"/>
      <c r="C151" s="5"/>
      <c r="D151" s="5"/>
      <c r="E151" s="5"/>
      <c r="F151" s="5"/>
      <c r="P151" s="33"/>
      <c r="Q151" s="33"/>
      <c r="R151" s="33"/>
      <c r="S151" s="33"/>
      <c r="T151" s="33"/>
    </row>
    <row r="152" spans="2:20" ht="15.75" customHeight="1">
      <c r="B152" s="5"/>
      <c r="C152" s="5"/>
      <c r="D152" s="5"/>
      <c r="E152" s="5"/>
      <c r="F152" s="5"/>
      <c r="P152" s="33"/>
      <c r="Q152" s="33"/>
      <c r="R152" s="33"/>
      <c r="S152" s="33"/>
      <c r="T152" s="33"/>
    </row>
    <row r="153" spans="2:20" ht="15.75" customHeight="1">
      <c r="B153" s="5"/>
      <c r="C153" s="5"/>
      <c r="D153" s="5"/>
      <c r="E153" s="5"/>
      <c r="F153" s="5"/>
      <c r="P153" s="33"/>
      <c r="Q153" s="33"/>
      <c r="R153" s="33"/>
      <c r="S153" s="33"/>
      <c r="T153" s="33"/>
    </row>
    <row r="154" spans="2:20" ht="15.75" customHeight="1">
      <c r="B154" s="5"/>
      <c r="C154" s="5"/>
      <c r="D154" s="5"/>
      <c r="E154" s="5"/>
      <c r="F154" s="5"/>
      <c r="P154" s="33"/>
      <c r="Q154" s="33"/>
      <c r="R154" s="33"/>
      <c r="S154" s="33"/>
      <c r="T154" s="33"/>
    </row>
    <row r="155" spans="2:20" ht="15.75" customHeight="1">
      <c r="B155" s="5"/>
      <c r="C155" s="5"/>
      <c r="D155" s="5"/>
      <c r="E155" s="5"/>
      <c r="F155" s="5"/>
      <c r="P155" s="33"/>
      <c r="Q155" s="33"/>
      <c r="R155" s="33"/>
      <c r="S155" s="33"/>
      <c r="T155" s="33"/>
    </row>
    <row r="156" spans="2:20" ht="15.75" customHeight="1">
      <c r="B156" s="5"/>
      <c r="C156" s="5"/>
      <c r="D156" s="5"/>
      <c r="E156" s="5"/>
      <c r="F156" s="5"/>
      <c r="P156" s="33"/>
      <c r="Q156" s="33"/>
      <c r="R156" s="33"/>
      <c r="S156" s="33"/>
      <c r="T156" s="33"/>
    </row>
    <row r="157" spans="2:20" ht="15.75" customHeight="1">
      <c r="B157" s="5"/>
      <c r="C157" s="5"/>
      <c r="D157" s="5"/>
      <c r="E157" s="5"/>
      <c r="F157" s="5"/>
      <c r="P157" s="33"/>
      <c r="Q157" s="33"/>
      <c r="R157" s="33"/>
      <c r="S157" s="33"/>
      <c r="T157" s="33"/>
    </row>
    <row r="158" spans="2:20" ht="15.75" customHeight="1">
      <c r="B158" s="5"/>
      <c r="C158" s="5"/>
      <c r="D158" s="5"/>
      <c r="E158" s="5"/>
      <c r="F158" s="5"/>
      <c r="P158" s="33"/>
      <c r="Q158" s="33"/>
      <c r="R158" s="33"/>
      <c r="S158" s="33"/>
      <c r="T158" s="33"/>
    </row>
    <row r="159" spans="2:20" ht="15.75" customHeight="1">
      <c r="B159" s="5"/>
      <c r="C159" s="5"/>
      <c r="D159" s="5"/>
      <c r="E159" s="5"/>
      <c r="F159" s="5"/>
      <c r="P159" s="33"/>
      <c r="Q159" s="33"/>
      <c r="R159" s="33"/>
      <c r="S159" s="33"/>
      <c r="T159" s="33"/>
    </row>
    <row r="160" spans="2:20" ht="15.75" customHeight="1">
      <c r="B160" s="5"/>
      <c r="C160" s="5"/>
      <c r="D160" s="5"/>
      <c r="E160" s="5"/>
      <c r="F160" s="5"/>
      <c r="P160" s="33"/>
      <c r="Q160" s="33"/>
      <c r="R160" s="33"/>
      <c r="S160" s="33"/>
      <c r="T160" s="33"/>
    </row>
    <row r="161" spans="2:20" ht="15.75" customHeight="1">
      <c r="B161" s="5"/>
      <c r="C161" s="5"/>
      <c r="D161" s="5"/>
      <c r="E161" s="5"/>
      <c r="F161" s="5"/>
      <c r="P161" s="33"/>
      <c r="Q161" s="33"/>
      <c r="R161" s="33"/>
      <c r="S161" s="33"/>
      <c r="T161" s="33"/>
    </row>
    <row r="162" spans="2:20" ht="15.75" customHeight="1">
      <c r="B162" s="5"/>
      <c r="C162" s="5"/>
      <c r="D162" s="5"/>
      <c r="E162" s="5"/>
      <c r="F162" s="5"/>
      <c r="P162" s="33"/>
      <c r="Q162" s="33"/>
      <c r="R162" s="33"/>
      <c r="S162" s="33"/>
      <c r="T162" s="33"/>
    </row>
    <row r="163" spans="2:20" ht="15.75" customHeight="1">
      <c r="B163" s="5"/>
      <c r="C163" s="5"/>
      <c r="D163" s="5"/>
      <c r="E163" s="5"/>
      <c r="F163" s="5"/>
      <c r="P163" s="33"/>
      <c r="Q163" s="33"/>
      <c r="R163" s="33"/>
      <c r="S163" s="33"/>
      <c r="T163" s="33"/>
    </row>
    <row r="164" spans="2:20" ht="15.75" customHeight="1">
      <c r="B164" s="5"/>
      <c r="C164" s="5"/>
      <c r="D164" s="5"/>
      <c r="E164" s="5"/>
      <c r="F164" s="5"/>
      <c r="P164" s="33"/>
      <c r="Q164" s="33"/>
      <c r="R164" s="33"/>
      <c r="S164" s="33"/>
      <c r="T164" s="33"/>
    </row>
    <row r="165" spans="2:20" ht="15.75" customHeight="1">
      <c r="B165" s="5"/>
      <c r="C165" s="5"/>
      <c r="D165" s="5"/>
      <c r="E165" s="5"/>
      <c r="F165" s="5"/>
      <c r="P165" s="33"/>
      <c r="Q165" s="33"/>
      <c r="R165" s="33"/>
      <c r="S165" s="33"/>
      <c r="T165" s="33"/>
    </row>
    <row r="166" spans="2:20" ht="15.75" customHeight="1">
      <c r="B166" s="5"/>
      <c r="C166" s="5"/>
      <c r="D166" s="5"/>
      <c r="E166" s="5"/>
      <c r="F166" s="5"/>
      <c r="P166" s="33"/>
      <c r="Q166" s="33"/>
      <c r="R166" s="33"/>
      <c r="S166" s="33"/>
      <c r="T166" s="33"/>
    </row>
    <row r="167" spans="2:20" ht="15.75" customHeight="1">
      <c r="B167" s="5"/>
      <c r="C167" s="5"/>
      <c r="D167" s="5"/>
      <c r="E167" s="5"/>
      <c r="F167" s="5"/>
      <c r="P167" s="33"/>
      <c r="Q167" s="33"/>
      <c r="R167" s="33"/>
      <c r="S167" s="33"/>
      <c r="T167" s="33"/>
    </row>
    <row r="168" spans="2:20" ht="15.75" customHeight="1">
      <c r="B168" s="5"/>
      <c r="C168" s="5"/>
      <c r="D168" s="5"/>
      <c r="E168" s="5"/>
      <c r="F168" s="5"/>
      <c r="P168" s="33"/>
      <c r="Q168" s="33"/>
      <c r="R168" s="33"/>
      <c r="S168" s="33"/>
      <c r="T168" s="33"/>
    </row>
    <row r="169" spans="2:20" ht="15.75" customHeight="1">
      <c r="B169" s="5"/>
      <c r="C169" s="5"/>
      <c r="D169" s="5"/>
      <c r="E169" s="5"/>
      <c r="F169" s="5"/>
      <c r="P169" s="33"/>
      <c r="Q169" s="33"/>
      <c r="R169" s="33"/>
      <c r="S169" s="33"/>
      <c r="T169" s="33"/>
    </row>
    <row r="170" spans="2:20" ht="15.75" customHeight="1">
      <c r="B170" s="5"/>
      <c r="C170" s="5"/>
      <c r="D170" s="5"/>
      <c r="E170" s="5"/>
      <c r="F170" s="5"/>
      <c r="P170" s="33"/>
      <c r="Q170" s="33"/>
      <c r="R170" s="33"/>
      <c r="S170" s="33"/>
      <c r="T170" s="33"/>
    </row>
    <row r="171" spans="2:20" ht="15.75" customHeight="1">
      <c r="B171" s="5"/>
      <c r="C171" s="5"/>
      <c r="D171" s="5"/>
      <c r="E171" s="5"/>
      <c r="F171" s="5"/>
      <c r="P171" s="33"/>
      <c r="Q171" s="33"/>
      <c r="R171" s="33"/>
      <c r="S171" s="33"/>
      <c r="T171" s="33"/>
    </row>
    <row r="172" spans="2:20" ht="15.75" customHeight="1">
      <c r="B172" s="5"/>
      <c r="C172" s="5"/>
      <c r="D172" s="5"/>
      <c r="E172" s="5"/>
      <c r="F172" s="5"/>
      <c r="P172" s="33"/>
      <c r="Q172" s="33"/>
      <c r="R172" s="33"/>
      <c r="S172" s="33"/>
      <c r="T172" s="33"/>
    </row>
    <row r="173" spans="2:20" ht="15.75" customHeight="1">
      <c r="B173" s="5"/>
      <c r="C173" s="5"/>
      <c r="D173" s="5"/>
      <c r="E173" s="5"/>
      <c r="F173" s="5"/>
      <c r="P173" s="33"/>
      <c r="Q173" s="33"/>
      <c r="R173" s="33"/>
      <c r="S173" s="33"/>
      <c r="T173" s="33"/>
    </row>
    <row r="174" spans="2:20" ht="15.75" customHeight="1">
      <c r="B174" s="5"/>
      <c r="C174" s="5"/>
      <c r="D174" s="5"/>
      <c r="E174" s="5"/>
      <c r="F174" s="5"/>
      <c r="P174" s="33"/>
      <c r="Q174" s="33"/>
      <c r="R174" s="33"/>
      <c r="S174" s="33"/>
      <c r="T174" s="33"/>
    </row>
    <row r="175" spans="2:20" ht="15.75" customHeight="1">
      <c r="B175" s="5"/>
      <c r="C175" s="5"/>
      <c r="D175" s="5"/>
      <c r="E175" s="5"/>
      <c r="F175" s="5"/>
      <c r="P175" s="33"/>
      <c r="Q175" s="33"/>
      <c r="R175" s="33"/>
      <c r="S175" s="33"/>
      <c r="T175" s="33"/>
    </row>
    <row r="176" spans="2:20" ht="15.75" customHeight="1">
      <c r="B176" s="5"/>
      <c r="C176" s="5"/>
      <c r="D176" s="5"/>
      <c r="E176" s="5"/>
      <c r="F176" s="5"/>
      <c r="P176" s="33"/>
      <c r="Q176" s="33"/>
      <c r="R176" s="33"/>
      <c r="S176" s="33"/>
      <c r="T176" s="33"/>
    </row>
    <row r="177" spans="2:20" ht="15.75" customHeight="1">
      <c r="B177" s="5"/>
      <c r="C177" s="5"/>
      <c r="D177" s="5"/>
      <c r="E177" s="5"/>
      <c r="F177" s="5"/>
      <c r="P177" s="33"/>
      <c r="Q177" s="33"/>
      <c r="R177" s="33"/>
      <c r="S177" s="33"/>
      <c r="T177" s="33"/>
    </row>
    <row r="178" spans="2:20" ht="15.75" customHeight="1">
      <c r="B178" s="5"/>
      <c r="C178" s="5"/>
      <c r="D178" s="5"/>
      <c r="E178" s="5"/>
      <c r="F178" s="5"/>
      <c r="P178" s="33"/>
      <c r="Q178" s="33"/>
      <c r="R178" s="33"/>
      <c r="S178" s="33"/>
      <c r="T178" s="33"/>
    </row>
    <row r="179" spans="2:20" ht="15.75" customHeight="1">
      <c r="B179" s="5"/>
      <c r="C179" s="5"/>
      <c r="D179" s="5"/>
      <c r="E179" s="5"/>
      <c r="F179" s="5"/>
      <c r="P179" s="33"/>
      <c r="Q179" s="33"/>
      <c r="R179" s="33"/>
      <c r="S179" s="33"/>
      <c r="T179" s="33"/>
    </row>
    <row r="180" spans="2:20" ht="15.75" customHeight="1">
      <c r="B180" s="5"/>
      <c r="C180" s="5"/>
      <c r="D180" s="5"/>
      <c r="E180" s="5"/>
      <c r="F180" s="5"/>
      <c r="P180" s="33"/>
      <c r="Q180" s="33"/>
      <c r="R180" s="33"/>
      <c r="S180" s="33"/>
      <c r="T180" s="33"/>
    </row>
    <row r="181" spans="2:20" ht="15.75" customHeight="1">
      <c r="B181" s="5"/>
      <c r="C181" s="5"/>
      <c r="D181" s="5"/>
      <c r="E181" s="5"/>
      <c r="F181" s="5"/>
      <c r="P181" s="33"/>
      <c r="Q181" s="33"/>
      <c r="R181" s="33"/>
      <c r="S181" s="33"/>
      <c r="T181" s="33"/>
    </row>
    <row r="182" spans="2:20" ht="15.75" customHeight="1">
      <c r="B182" s="5"/>
      <c r="C182" s="5"/>
      <c r="D182" s="5"/>
      <c r="E182" s="5"/>
      <c r="F182" s="5"/>
      <c r="P182" s="33"/>
      <c r="Q182" s="33"/>
      <c r="R182" s="33"/>
      <c r="S182" s="33"/>
      <c r="T182" s="33"/>
    </row>
    <row r="183" spans="2:20" ht="15.75" customHeight="1">
      <c r="B183" s="5"/>
      <c r="C183" s="5"/>
      <c r="D183" s="5"/>
      <c r="E183" s="5"/>
      <c r="F183" s="5"/>
      <c r="P183" s="33"/>
      <c r="Q183" s="33"/>
      <c r="R183" s="33"/>
      <c r="S183" s="33"/>
      <c r="T183" s="33"/>
    </row>
    <row r="184" spans="2:20" ht="15.75" customHeight="1">
      <c r="B184" s="5"/>
      <c r="C184" s="5"/>
      <c r="D184" s="5"/>
      <c r="E184" s="5"/>
      <c r="F184" s="5"/>
      <c r="P184" s="33"/>
      <c r="Q184" s="33"/>
      <c r="R184" s="33"/>
      <c r="S184" s="33"/>
      <c r="T184" s="33"/>
    </row>
    <row r="185" spans="2:20" ht="15.75" customHeight="1">
      <c r="B185" s="5"/>
      <c r="C185" s="5"/>
      <c r="D185" s="5"/>
      <c r="E185" s="5"/>
      <c r="F185" s="5"/>
      <c r="P185" s="33"/>
      <c r="Q185" s="33"/>
      <c r="R185" s="33"/>
      <c r="S185" s="33"/>
      <c r="T185" s="33"/>
    </row>
    <row r="186" spans="2:20" ht="15.75" customHeight="1">
      <c r="B186" s="5"/>
      <c r="C186" s="5"/>
      <c r="D186" s="5"/>
      <c r="E186" s="5"/>
      <c r="F186" s="5"/>
      <c r="P186" s="33"/>
      <c r="Q186" s="33"/>
      <c r="R186" s="33"/>
      <c r="S186" s="33"/>
      <c r="T186" s="33"/>
    </row>
    <row r="187" spans="2:20" ht="15.75" customHeight="1">
      <c r="B187" s="5"/>
      <c r="C187" s="5"/>
      <c r="D187" s="5"/>
      <c r="E187" s="5"/>
      <c r="F187" s="5"/>
      <c r="P187" s="33"/>
      <c r="Q187" s="33"/>
      <c r="R187" s="33"/>
      <c r="S187" s="33"/>
      <c r="T187" s="33"/>
    </row>
    <row r="188" spans="2:20" ht="15.75" customHeight="1">
      <c r="B188" s="5"/>
      <c r="C188" s="5"/>
      <c r="D188" s="5"/>
      <c r="E188" s="5"/>
      <c r="F188" s="5"/>
      <c r="P188" s="33"/>
      <c r="Q188" s="33"/>
      <c r="R188" s="33"/>
      <c r="S188" s="33"/>
      <c r="T188" s="33"/>
    </row>
    <row r="189" spans="2:20" ht="15.75" customHeight="1">
      <c r="B189" s="5"/>
      <c r="C189" s="5"/>
      <c r="D189" s="5"/>
      <c r="E189" s="5"/>
      <c r="F189" s="5"/>
      <c r="P189" s="33"/>
      <c r="Q189" s="33"/>
      <c r="R189" s="33"/>
      <c r="S189" s="33"/>
      <c r="T189" s="33"/>
    </row>
    <row r="190" spans="2:20" ht="15.75" customHeight="1">
      <c r="B190" s="5"/>
      <c r="C190" s="5"/>
      <c r="D190" s="5"/>
      <c r="E190" s="5"/>
      <c r="F190" s="5"/>
      <c r="P190" s="33"/>
      <c r="Q190" s="33"/>
      <c r="R190" s="33"/>
      <c r="S190" s="33"/>
      <c r="T190" s="33"/>
    </row>
    <row r="191" spans="2:20" ht="15.75" customHeight="1">
      <c r="B191" s="5"/>
      <c r="C191" s="5"/>
      <c r="D191" s="5"/>
      <c r="E191" s="5"/>
      <c r="F191" s="5"/>
      <c r="P191" s="33"/>
      <c r="Q191" s="33"/>
      <c r="R191" s="33"/>
      <c r="S191" s="33"/>
      <c r="T191" s="33"/>
    </row>
    <row r="192" spans="2:20" ht="15.75" customHeight="1">
      <c r="B192" s="5"/>
      <c r="C192" s="5"/>
      <c r="D192" s="5"/>
      <c r="E192" s="5"/>
      <c r="F192" s="5"/>
      <c r="P192" s="33"/>
      <c r="Q192" s="33"/>
      <c r="R192" s="33"/>
      <c r="S192" s="33"/>
      <c r="T192" s="33"/>
    </row>
    <row r="193" spans="2:20" ht="15.75" customHeight="1">
      <c r="B193" s="5"/>
      <c r="C193" s="5"/>
      <c r="D193" s="5"/>
      <c r="E193" s="5"/>
      <c r="F193" s="5"/>
      <c r="P193" s="33"/>
      <c r="Q193" s="33"/>
      <c r="R193" s="33"/>
      <c r="S193" s="33"/>
      <c r="T193" s="33"/>
    </row>
    <row r="194" spans="2:20" ht="15.75" customHeight="1">
      <c r="B194" s="5"/>
      <c r="C194" s="5"/>
      <c r="D194" s="5"/>
      <c r="E194" s="5"/>
      <c r="F194" s="5"/>
      <c r="P194" s="33"/>
      <c r="Q194" s="33"/>
      <c r="R194" s="33"/>
      <c r="S194" s="33"/>
      <c r="T194" s="33"/>
    </row>
    <row r="195" spans="2:20" ht="15.75" customHeight="1">
      <c r="B195" s="5"/>
      <c r="C195" s="5"/>
      <c r="D195" s="5"/>
      <c r="E195" s="5"/>
      <c r="F195" s="5"/>
      <c r="P195" s="33"/>
      <c r="Q195" s="33"/>
      <c r="R195" s="33"/>
      <c r="S195" s="33"/>
      <c r="T195" s="33"/>
    </row>
    <row r="196" spans="2:20" ht="15.75" customHeight="1">
      <c r="B196" s="5"/>
      <c r="C196" s="5"/>
      <c r="D196" s="5"/>
      <c r="E196" s="5"/>
      <c r="F196" s="5"/>
      <c r="P196" s="33"/>
      <c r="Q196" s="33"/>
      <c r="R196" s="33"/>
      <c r="S196" s="33"/>
      <c r="T196" s="33"/>
    </row>
    <row r="197" spans="2:20" ht="15.75" customHeight="1">
      <c r="B197" s="5"/>
      <c r="C197" s="5"/>
      <c r="D197" s="5"/>
      <c r="E197" s="5"/>
      <c r="F197" s="5"/>
      <c r="P197" s="33"/>
      <c r="Q197" s="33"/>
      <c r="R197" s="33"/>
      <c r="S197" s="33"/>
      <c r="T197" s="33"/>
    </row>
    <row r="198" spans="2:20" ht="15.75" customHeight="1">
      <c r="B198" s="5"/>
      <c r="C198" s="5"/>
      <c r="D198" s="5"/>
      <c r="E198" s="5"/>
      <c r="F198" s="5"/>
      <c r="P198" s="33"/>
      <c r="Q198" s="33"/>
      <c r="R198" s="33"/>
      <c r="S198" s="33"/>
      <c r="T198" s="33"/>
    </row>
    <row r="199" spans="2:20" ht="15.75" customHeight="1">
      <c r="B199" s="5"/>
      <c r="C199" s="5"/>
      <c r="D199" s="5"/>
      <c r="E199" s="5"/>
      <c r="F199" s="5"/>
      <c r="P199" s="33"/>
      <c r="Q199" s="33"/>
      <c r="R199" s="33"/>
      <c r="S199" s="33"/>
      <c r="T199" s="33"/>
    </row>
    <row r="200" spans="2:20" ht="15.75" customHeight="1">
      <c r="B200" s="5"/>
      <c r="C200" s="5"/>
      <c r="D200" s="5"/>
      <c r="E200" s="5"/>
      <c r="F200" s="5"/>
      <c r="P200" s="33"/>
      <c r="Q200" s="33"/>
      <c r="R200" s="33"/>
      <c r="S200" s="33"/>
      <c r="T200" s="33"/>
    </row>
    <row r="201" spans="2:20" ht="15.75" customHeight="1">
      <c r="B201" s="5"/>
      <c r="C201" s="5"/>
      <c r="D201" s="5"/>
      <c r="E201" s="5"/>
      <c r="F201" s="5"/>
      <c r="P201" s="33"/>
      <c r="Q201" s="33"/>
      <c r="R201" s="33"/>
      <c r="S201" s="33"/>
      <c r="T201" s="33"/>
    </row>
    <row r="202" spans="2:20" ht="15.75" customHeight="1">
      <c r="B202" s="5"/>
      <c r="C202" s="5"/>
      <c r="D202" s="5"/>
      <c r="E202" s="5"/>
      <c r="F202" s="5"/>
      <c r="P202" s="33"/>
      <c r="Q202" s="33"/>
      <c r="R202" s="33"/>
      <c r="S202" s="33"/>
      <c r="T202" s="33"/>
    </row>
    <row r="203" spans="2:20" ht="15.75" customHeight="1">
      <c r="B203" s="5"/>
      <c r="C203" s="5"/>
      <c r="D203" s="5"/>
      <c r="E203" s="5"/>
      <c r="F203" s="5"/>
      <c r="P203" s="33"/>
      <c r="Q203" s="33"/>
      <c r="R203" s="33"/>
      <c r="S203" s="33"/>
      <c r="T203" s="33"/>
    </row>
    <row r="204" spans="2:20" ht="15.75" customHeight="1">
      <c r="B204" s="5"/>
      <c r="C204" s="5"/>
      <c r="D204" s="5"/>
      <c r="E204" s="5"/>
      <c r="F204" s="5"/>
      <c r="P204" s="33"/>
      <c r="Q204" s="33"/>
      <c r="R204" s="33"/>
      <c r="S204" s="33"/>
      <c r="T204" s="33"/>
    </row>
    <row r="205" spans="2:20" ht="15.75" customHeight="1">
      <c r="B205" s="5"/>
      <c r="C205" s="5"/>
      <c r="D205" s="5"/>
      <c r="E205" s="5"/>
      <c r="F205" s="5"/>
      <c r="P205" s="33"/>
      <c r="Q205" s="33"/>
      <c r="R205" s="33"/>
      <c r="S205" s="33"/>
      <c r="T205" s="33"/>
    </row>
    <row r="206" spans="2:20" ht="15.75" customHeight="1">
      <c r="B206" s="5"/>
      <c r="C206" s="5"/>
      <c r="D206" s="5"/>
      <c r="E206" s="5"/>
      <c r="F206" s="5"/>
      <c r="P206" s="33"/>
      <c r="Q206" s="33"/>
      <c r="R206" s="33"/>
      <c r="S206" s="33"/>
      <c r="T206" s="33"/>
    </row>
    <row r="207" spans="2:20" ht="15.75" customHeight="1">
      <c r="B207" s="5"/>
      <c r="C207" s="5"/>
      <c r="D207" s="5"/>
      <c r="E207" s="5"/>
      <c r="F207" s="5"/>
      <c r="P207" s="33"/>
      <c r="Q207" s="33"/>
      <c r="R207" s="33"/>
      <c r="S207" s="33"/>
      <c r="T207" s="33"/>
    </row>
    <row r="208" spans="2:20" ht="15.75" customHeight="1">
      <c r="B208" s="5"/>
      <c r="C208" s="5"/>
      <c r="D208" s="5"/>
      <c r="E208" s="5"/>
      <c r="F208" s="5"/>
      <c r="P208" s="33"/>
      <c r="Q208" s="33"/>
      <c r="R208" s="33"/>
      <c r="S208" s="33"/>
      <c r="T208" s="33"/>
    </row>
    <row r="209" spans="2:20" ht="15.75" customHeight="1">
      <c r="B209" s="5"/>
      <c r="C209" s="5"/>
      <c r="D209" s="5"/>
      <c r="E209" s="5"/>
      <c r="F209" s="5"/>
      <c r="P209" s="33"/>
      <c r="Q209" s="33"/>
      <c r="R209" s="33"/>
      <c r="S209" s="33"/>
      <c r="T209" s="33"/>
    </row>
    <row r="210" spans="2:20" ht="15.75" customHeight="1">
      <c r="B210" s="5"/>
      <c r="C210" s="5"/>
      <c r="D210" s="5"/>
      <c r="E210" s="5"/>
      <c r="F210" s="5"/>
      <c r="P210" s="33"/>
      <c r="Q210" s="33"/>
      <c r="R210" s="33"/>
      <c r="S210" s="33"/>
      <c r="T210" s="33"/>
    </row>
    <row r="211" spans="2:20" ht="15.75" customHeight="1">
      <c r="B211" s="5"/>
      <c r="C211" s="5"/>
      <c r="D211" s="5"/>
      <c r="E211" s="5"/>
      <c r="F211" s="5"/>
      <c r="P211" s="33"/>
      <c r="Q211" s="33"/>
      <c r="R211" s="33"/>
      <c r="S211" s="33"/>
      <c r="T211" s="33"/>
    </row>
    <row r="212" spans="2:20" ht="15.75" customHeight="1">
      <c r="B212" s="5"/>
      <c r="C212" s="5"/>
      <c r="D212" s="5"/>
      <c r="E212" s="5"/>
      <c r="F212" s="5"/>
      <c r="P212" s="33"/>
      <c r="Q212" s="33"/>
      <c r="R212" s="33"/>
      <c r="S212" s="33"/>
      <c r="T212" s="33"/>
    </row>
    <row r="213" spans="2:20" ht="15.75" customHeight="1">
      <c r="B213" s="5"/>
      <c r="C213" s="5"/>
      <c r="D213" s="5"/>
      <c r="E213" s="5"/>
      <c r="F213" s="5"/>
      <c r="P213" s="33"/>
      <c r="Q213" s="33"/>
      <c r="R213" s="33"/>
      <c r="S213" s="33"/>
      <c r="T213" s="33"/>
    </row>
    <row r="214" spans="2:20" ht="15.75" customHeight="1">
      <c r="B214" s="5"/>
      <c r="C214" s="5"/>
      <c r="D214" s="5"/>
      <c r="E214" s="5"/>
      <c r="F214" s="5"/>
      <c r="P214" s="33"/>
      <c r="Q214" s="33"/>
      <c r="R214" s="33"/>
      <c r="S214" s="33"/>
      <c r="T214" s="33"/>
    </row>
    <row r="215" spans="2:20" ht="15.75" customHeight="1">
      <c r="B215" s="5"/>
      <c r="C215" s="5"/>
      <c r="D215" s="5"/>
      <c r="E215" s="5"/>
      <c r="F215" s="5"/>
      <c r="P215" s="33"/>
      <c r="Q215" s="33"/>
      <c r="R215" s="33"/>
      <c r="S215" s="33"/>
      <c r="T215" s="33"/>
    </row>
    <row r="216" spans="2:20" ht="15.75" customHeight="1">
      <c r="B216" s="5"/>
      <c r="C216" s="5"/>
      <c r="D216" s="5"/>
      <c r="E216" s="5"/>
      <c r="F216" s="5"/>
      <c r="P216" s="33"/>
      <c r="Q216" s="33"/>
      <c r="R216" s="33"/>
      <c r="S216" s="33"/>
      <c r="T216" s="33"/>
    </row>
    <row r="217" spans="2:20" ht="15.75" customHeight="1">
      <c r="B217" s="5"/>
      <c r="C217" s="5"/>
      <c r="D217" s="5"/>
      <c r="E217" s="5"/>
      <c r="F217" s="5"/>
      <c r="P217" s="33"/>
      <c r="Q217" s="33"/>
      <c r="R217" s="33"/>
      <c r="S217" s="33"/>
      <c r="T217" s="33"/>
    </row>
    <row r="218" spans="2:20" ht="15.75" customHeight="1">
      <c r="B218" s="5"/>
      <c r="C218" s="5"/>
      <c r="D218" s="5"/>
      <c r="E218" s="5"/>
      <c r="F218" s="5"/>
      <c r="P218" s="33"/>
      <c r="Q218" s="33"/>
      <c r="R218" s="33"/>
      <c r="S218" s="33"/>
      <c r="T218" s="33"/>
    </row>
    <row r="219" spans="2:20" ht="15.75" customHeight="1">
      <c r="B219" s="5"/>
      <c r="C219" s="5"/>
      <c r="D219" s="5"/>
      <c r="E219" s="5"/>
      <c r="F219" s="5"/>
      <c r="P219" s="33"/>
      <c r="Q219" s="33"/>
      <c r="R219" s="33"/>
      <c r="S219" s="33"/>
      <c r="T219" s="33"/>
    </row>
    <row r="220" spans="2:20" ht="15.75" customHeight="1">
      <c r="B220" s="5"/>
      <c r="C220" s="5"/>
      <c r="D220" s="5"/>
      <c r="E220" s="5"/>
      <c r="F220" s="5"/>
      <c r="P220" s="33"/>
      <c r="Q220" s="33"/>
      <c r="R220" s="33"/>
      <c r="S220" s="33"/>
      <c r="T220" s="33"/>
    </row>
    <row r="221" spans="2:20" ht="15.75" customHeight="1">
      <c r="B221" s="5"/>
      <c r="C221" s="5"/>
      <c r="D221" s="5"/>
      <c r="E221" s="5"/>
      <c r="F221" s="5"/>
      <c r="P221" s="33"/>
      <c r="Q221" s="33"/>
      <c r="R221" s="33"/>
      <c r="S221" s="33"/>
      <c r="T221" s="33"/>
    </row>
    <row r="222" spans="2:20" ht="15.75" customHeight="1">
      <c r="B222" s="5"/>
      <c r="C222" s="5"/>
      <c r="D222" s="5"/>
      <c r="E222" s="5"/>
      <c r="F222" s="5"/>
      <c r="P222" s="33"/>
      <c r="Q222" s="33"/>
      <c r="R222" s="33"/>
      <c r="S222" s="33"/>
      <c r="T222" s="33"/>
    </row>
    <row r="223" spans="2:20" ht="15.75" customHeight="1">
      <c r="B223" s="5"/>
      <c r="C223" s="5"/>
      <c r="D223" s="5"/>
      <c r="E223" s="5"/>
      <c r="F223" s="5"/>
      <c r="P223" s="33"/>
      <c r="Q223" s="33"/>
      <c r="R223" s="33"/>
      <c r="S223" s="33"/>
      <c r="T223" s="33"/>
    </row>
    <row r="224" spans="2:20" ht="15.75" customHeight="1">
      <c r="B224" s="5"/>
      <c r="C224" s="5"/>
      <c r="D224" s="5"/>
      <c r="E224" s="5"/>
      <c r="F224" s="5"/>
      <c r="P224" s="33"/>
      <c r="Q224" s="33"/>
      <c r="R224" s="33"/>
      <c r="S224" s="33"/>
      <c r="T224" s="33"/>
    </row>
    <row r="225" spans="2:20" ht="15.75" customHeight="1">
      <c r="B225" s="5"/>
      <c r="C225" s="5"/>
      <c r="D225" s="5"/>
      <c r="E225" s="5"/>
      <c r="F225" s="5"/>
      <c r="P225" s="33"/>
      <c r="Q225" s="33"/>
      <c r="R225" s="33"/>
      <c r="S225" s="33"/>
      <c r="T225" s="33"/>
    </row>
    <row r="226" spans="2:20" ht="15.75" customHeight="1">
      <c r="B226" s="5"/>
      <c r="C226" s="5"/>
      <c r="D226" s="5"/>
      <c r="E226" s="5"/>
      <c r="F226" s="5"/>
      <c r="P226" s="33"/>
      <c r="Q226" s="33"/>
      <c r="R226" s="33"/>
      <c r="S226" s="33"/>
      <c r="T226" s="33"/>
    </row>
    <row r="227" spans="2:20" ht="15.75" customHeight="1">
      <c r="B227" s="5"/>
      <c r="C227" s="5"/>
      <c r="D227" s="5"/>
      <c r="E227" s="5"/>
      <c r="F227" s="5"/>
      <c r="P227" s="33"/>
      <c r="Q227" s="33"/>
      <c r="R227" s="33"/>
      <c r="S227" s="33"/>
      <c r="T227" s="33"/>
    </row>
    <row r="228" spans="2:20" ht="15.75" customHeight="1">
      <c r="B228" s="5"/>
      <c r="C228" s="5"/>
      <c r="D228" s="5"/>
      <c r="E228" s="5"/>
      <c r="F228" s="5"/>
      <c r="P228" s="33"/>
      <c r="Q228" s="33"/>
      <c r="R228" s="33"/>
      <c r="S228" s="33"/>
      <c r="T228" s="33"/>
    </row>
    <row r="229" spans="2:20" ht="15.75" customHeight="1">
      <c r="B229" s="5"/>
      <c r="C229" s="5"/>
      <c r="D229" s="5"/>
      <c r="E229" s="5"/>
      <c r="F229" s="5"/>
      <c r="P229" s="33"/>
      <c r="Q229" s="33"/>
      <c r="R229" s="33"/>
      <c r="S229" s="33"/>
      <c r="T229" s="33"/>
    </row>
    <row r="230" spans="2:20" ht="15.75" customHeight="1">
      <c r="B230" s="5"/>
      <c r="C230" s="5"/>
      <c r="D230" s="5"/>
      <c r="E230" s="5"/>
      <c r="F230" s="5"/>
      <c r="P230" s="33"/>
      <c r="Q230" s="33"/>
      <c r="R230" s="33"/>
      <c r="S230" s="33"/>
      <c r="T230" s="33"/>
    </row>
    <row r="231" spans="2:20" ht="15.75" customHeight="1">
      <c r="B231" s="5"/>
      <c r="C231" s="5"/>
      <c r="D231" s="5"/>
      <c r="E231" s="5"/>
      <c r="F231" s="5"/>
      <c r="P231" s="33"/>
      <c r="Q231" s="33"/>
      <c r="R231" s="33"/>
      <c r="S231" s="33"/>
      <c r="T231" s="33"/>
    </row>
    <row r="232" spans="2:20" ht="15.75" customHeight="1">
      <c r="B232" s="5"/>
      <c r="C232" s="5"/>
      <c r="D232" s="5"/>
      <c r="E232" s="5"/>
      <c r="F232" s="5"/>
      <c r="P232" s="33"/>
      <c r="Q232" s="33"/>
      <c r="R232" s="33"/>
      <c r="S232" s="33"/>
      <c r="T232" s="33"/>
    </row>
    <row r="233" spans="2:20" ht="15.75" customHeight="1">
      <c r="B233" s="5"/>
      <c r="C233" s="5"/>
      <c r="D233" s="5"/>
      <c r="E233" s="5"/>
      <c r="F233" s="5"/>
      <c r="P233" s="33"/>
      <c r="Q233" s="33"/>
      <c r="R233" s="33"/>
      <c r="S233" s="33"/>
      <c r="T233" s="33"/>
    </row>
    <row r="234" spans="2:20" ht="15.75" customHeight="1">
      <c r="B234" s="5"/>
      <c r="C234" s="5"/>
      <c r="D234" s="5"/>
      <c r="E234" s="5"/>
      <c r="F234" s="5"/>
      <c r="P234" s="33"/>
      <c r="Q234" s="33"/>
      <c r="R234" s="33"/>
      <c r="S234" s="33"/>
      <c r="T234" s="33"/>
    </row>
    <row r="235" spans="2:20" ht="15.75" customHeight="1">
      <c r="B235" s="5"/>
      <c r="C235" s="5"/>
      <c r="D235" s="5"/>
      <c r="E235" s="5"/>
      <c r="F235" s="5"/>
      <c r="P235" s="33"/>
      <c r="Q235" s="33"/>
      <c r="R235" s="33"/>
      <c r="S235" s="33"/>
      <c r="T235" s="33"/>
    </row>
    <row r="236" spans="2:20" ht="15.75" customHeight="1">
      <c r="B236" s="5"/>
      <c r="C236" s="5"/>
      <c r="D236" s="5"/>
      <c r="E236" s="5"/>
      <c r="F236" s="5"/>
      <c r="P236" s="33"/>
      <c r="Q236" s="33"/>
      <c r="R236" s="33"/>
      <c r="S236" s="33"/>
      <c r="T236" s="33"/>
    </row>
    <row r="237" spans="2:20" ht="15.75" customHeight="1">
      <c r="B237" s="5"/>
      <c r="C237" s="5"/>
      <c r="D237" s="5"/>
      <c r="E237" s="5"/>
      <c r="F237" s="5"/>
      <c r="P237" s="33"/>
      <c r="Q237" s="33"/>
      <c r="R237" s="33"/>
      <c r="S237" s="33"/>
      <c r="T237" s="33"/>
    </row>
    <row r="238" spans="2:20" ht="15.75" customHeight="1">
      <c r="B238" s="5"/>
      <c r="C238" s="5"/>
      <c r="D238" s="5"/>
      <c r="E238" s="5"/>
      <c r="F238" s="5"/>
      <c r="P238" s="33"/>
      <c r="Q238" s="33"/>
      <c r="R238" s="33"/>
      <c r="S238" s="33"/>
      <c r="T238" s="33"/>
    </row>
    <row r="239" spans="2:20" ht="15.75" customHeight="1">
      <c r="B239" s="5"/>
      <c r="C239" s="5"/>
      <c r="D239" s="5"/>
      <c r="E239" s="5"/>
      <c r="F239" s="5"/>
      <c r="P239" s="33"/>
      <c r="Q239" s="33"/>
      <c r="R239" s="33"/>
      <c r="S239" s="33"/>
      <c r="T239" s="33"/>
    </row>
    <row r="240" spans="2:20" ht="15.75" customHeight="1">
      <c r="B240" s="5"/>
      <c r="C240" s="5"/>
      <c r="D240" s="5"/>
      <c r="E240" s="5"/>
      <c r="F240" s="5"/>
      <c r="P240" s="33"/>
      <c r="Q240" s="33"/>
      <c r="R240" s="33"/>
      <c r="S240" s="33"/>
      <c r="T240" s="33"/>
    </row>
    <row r="241" spans="2:20" ht="15.75" customHeight="1">
      <c r="B241" s="5"/>
      <c r="C241" s="5"/>
      <c r="D241" s="5"/>
      <c r="E241" s="5"/>
      <c r="F241" s="5"/>
      <c r="P241" s="33"/>
      <c r="Q241" s="33"/>
      <c r="R241" s="33"/>
      <c r="S241" s="33"/>
      <c r="T241" s="33"/>
    </row>
    <row r="242" spans="2:20" ht="15.75" customHeight="1">
      <c r="B242" s="5"/>
      <c r="C242" s="5"/>
      <c r="D242" s="5"/>
      <c r="E242" s="5"/>
      <c r="F242" s="5"/>
      <c r="P242" s="33"/>
      <c r="Q242" s="33"/>
      <c r="R242" s="33"/>
      <c r="S242" s="33"/>
      <c r="T242" s="33"/>
    </row>
    <row r="243" spans="2:20" ht="15.75" customHeight="1">
      <c r="B243" s="5"/>
      <c r="C243" s="5"/>
      <c r="D243" s="5"/>
      <c r="E243" s="5"/>
      <c r="F243" s="5"/>
      <c r="P243" s="33"/>
      <c r="Q243" s="33"/>
      <c r="R243" s="33"/>
      <c r="S243" s="33"/>
      <c r="T243" s="33"/>
    </row>
    <row r="244" spans="2:20" ht="15.75" customHeight="1">
      <c r="B244" s="5"/>
      <c r="C244" s="5"/>
      <c r="D244" s="5"/>
      <c r="E244" s="5"/>
      <c r="F244" s="5"/>
      <c r="P244" s="33"/>
      <c r="Q244" s="33"/>
      <c r="R244" s="33"/>
      <c r="S244" s="33"/>
      <c r="T244" s="33"/>
    </row>
    <row r="245" spans="2:20" ht="15.75" customHeight="1">
      <c r="B245" s="5"/>
      <c r="C245" s="5"/>
      <c r="D245" s="5"/>
      <c r="E245" s="5"/>
      <c r="F245" s="5"/>
      <c r="P245" s="33"/>
      <c r="Q245" s="33"/>
      <c r="R245" s="33"/>
      <c r="S245" s="33"/>
      <c r="T245" s="33"/>
    </row>
    <row r="246" spans="2:20" ht="15.75" customHeight="1">
      <c r="B246" s="5"/>
      <c r="C246" s="5"/>
      <c r="D246" s="5"/>
      <c r="E246" s="5"/>
      <c r="F246" s="5"/>
      <c r="P246" s="33"/>
      <c r="Q246" s="33"/>
      <c r="R246" s="33"/>
      <c r="S246" s="33"/>
      <c r="T246" s="33"/>
    </row>
    <row r="247" spans="2:20" ht="15.75" customHeight="1">
      <c r="B247" s="5"/>
      <c r="C247" s="5"/>
      <c r="D247" s="5"/>
      <c r="E247" s="5"/>
      <c r="F247" s="5"/>
      <c r="P247" s="33"/>
      <c r="Q247" s="33"/>
      <c r="R247" s="33"/>
      <c r="S247" s="33"/>
      <c r="T247" s="33"/>
    </row>
    <row r="248" spans="2:20" ht="15.75" customHeight="1">
      <c r="B248" s="5"/>
      <c r="C248" s="5"/>
      <c r="D248" s="5"/>
      <c r="E248" s="5"/>
      <c r="F248" s="5"/>
      <c r="P248" s="33"/>
      <c r="Q248" s="33"/>
      <c r="R248" s="33"/>
      <c r="S248" s="33"/>
      <c r="T248" s="33"/>
    </row>
    <row r="249" spans="2:20" ht="15.75" customHeight="1">
      <c r="B249" s="5"/>
      <c r="C249" s="5"/>
      <c r="D249" s="5"/>
      <c r="E249" s="5"/>
      <c r="F249" s="5"/>
      <c r="P249" s="33"/>
      <c r="Q249" s="33"/>
      <c r="R249" s="33"/>
      <c r="S249" s="33"/>
      <c r="T249" s="33"/>
    </row>
    <row r="250" spans="2:20" ht="15.75" customHeight="1">
      <c r="B250" s="5"/>
      <c r="C250" s="5"/>
      <c r="D250" s="5"/>
      <c r="E250" s="5"/>
      <c r="F250" s="5"/>
      <c r="P250" s="33"/>
      <c r="Q250" s="33"/>
      <c r="R250" s="33"/>
      <c r="S250" s="33"/>
      <c r="T250" s="33"/>
    </row>
    <row r="251" spans="2:20" ht="15.75" customHeight="1">
      <c r="B251" s="5"/>
      <c r="C251" s="5"/>
      <c r="D251" s="5"/>
      <c r="E251" s="5"/>
      <c r="F251" s="5"/>
      <c r="P251" s="33"/>
      <c r="Q251" s="33"/>
      <c r="R251" s="33"/>
      <c r="S251" s="33"/>
      <c r="T251" s="33"/>
    </row>
    <row r="252" spans="2:20" ht="15.75" customHeight="1">
      <c r="B252" s="5"/>
      <c r="C252" s="5"/>
      <c r="D252" s="5"/>
      <c r="E252" s="5"/>
      <c r="F252" s="5"/>
      <c r="P252" s="33"/>
      <c r="Q252" s="33"/>
      <c r="R252" s="33"/>
      <c r="S252" s="33"/>
      <c r="T252" s="33"/>
    </row>
    <row r="253" spans="2:20" ht="15.75" customHeight="1">
      <c r="B253" s="5"/>
      <c r="C253" s="5"/>
      <c r="D253" s="5"/>
      <c r="E253" s="5"/>
      <c r="F253" s="5"/>
      <c r="P253" s="33"/>
      <c r="Q253" s="33"/>
      <c r="R253" s="33"/>
      <c r="S253" s="33"/>
      <c r="T253" s="33"/>
    </row>
    <row r="254" spans="2:20" ht="15.75" customHeight="1">
      <c r="B254" s="5"/>
      <c r="C254" s="5"/>
      <c r="D254" s="5"/>
      <c r="E254" s="5"/>
      <c r="F254" s="5"/>
      <c r="P254" s="33"/>
      <c r="Q254" s="33"/>
      <c r="R254" s="33"/>
      <c r="S254" s="33"/>
      <c r="T254" s="33"/>
    </row>
    <row r="255" spans="2:20" ht="15.75" customHeight="1">
      <c r="B255" s="5"/>
      <c r="C255" s="5"/>
      <c r="D255" s="5"/>
      <c r="E255" s="5"/>
      <c r="F255" s="5"/>
      <c r="P255" s="33"/>
      <c r="Q255" s="33"/>
      <c r="R255" s="33"/>
      <c r="S255" s="33"/>
      <c r="T255" s="33"/>
    </row>
    <row r="256" spans="2:20" ht="15.75" customHeight="1">
      <c r="B256" s="5"/>
      <c r="C256" s="5"/>
      <c r="D256" s="5"/>
      <c r="E256" s="5"/>
      <c r="F256" s="5"/>
      <c r="P256" s="33"/>
      <c r="Q256" s="33"/>
      <c r="R256" s="33"/>
      <c r="S256" s="33"/>
      <c r="T256" s="33"/>
    </row>
    <row r="257" spans="2:20" ht="15.75" customHeight="1">
      <c r="B257" s="5"/>
      <c r="C257" s="5"/>
      <c r="D257" s="5"/>
      <c r="E257" s="5"/>
      <c r="F257" s="5"/>
      <c r="P257" s="33"/>
      <c r="Q257" s="33"/>
      <c r="R257" s="33"/>
      <c r="S257" s="33"/>
      <c r="T257" s="33"/>
    </row>
    <row r="258" spans="2:20" ht="15.75" customHeight="1">
      <c r="B258" s="5"/>
      <c r="C258" s="5"/>
      <c r="D258" s="5"/>
      <c r="E258" s="5"/>
      <c r="F258" s="5"/>
      <c r="P258" s="33"/>
      <c r="Q258" s="33"/>
      <c r="R258" s="33"/>
      <c r="S258" s="33"/>
      <c r="T258" s="33"/>
    </row>
    <row r="259" spans="2:20" ht="15.75" customHeight="1">
      <c r="B259" s="5"/>
      <c r="C259" s="5"/>
      <c r="D259" s="5"/>
      <c r="E259" s="5"/>
      <c r="F259" s="5"/>
      <c r="P259" s="33"/>
      <c r="Q259" s="33"/>
      <c r="R259" s="33"/>
      <c r="S259" s="33"/>
      <c r="T259" s="33"/>
    </row>
    <row r="260" spans="2:20" ht="15.75" customHeight="1">
      <c r="B260" s="5"/>
      <c r="C260" s="5"/>
      <c r="D260" s="5"/>
      <c r="E260" s="5"/>
      <c r="F260" s="5"/>
      <c r="P260" s="33"/>
      <c r="Q260" s="33"/>
      <c r="R260" s="33"/>
      <c r="S260" s="33"/>
      <c r="T260" s="33"/>
    </row>
    <row r="261" spans="2:20" ht="15.75" customHeight="1">
      <c r="B261" s="5"/>
      <c r="C261" s="5"/>
      <c r="D261" s="5"/>
      <c r="E261" s="5"/>
      <c r="F261" s="5"/>
      <c r="P261" s="33"/>
      <c r="Q261" s="33"/>
      <c r="R261" s="33"/>
      <c r="S261" s="33"/>
      <c r="T261" s="33"/>
    </row>
    <row r="262" spans="2:20" ht="15.75" customHeight="1">
      <c r="B262" s="5"/>
      <c r="C262" s="5"/>
      <c r="D262" s="5"/>
      <c r="E262" s="5"/>
      <c r="F262" s="5"/>
      <c r="P262" s="33"/>
      <c r="Q262" s="33"/>
      <c r="R262" s="33"/>
      <c r="S262" s="33"/>
      <c r="T262" s="33"/>
    </row>
    <row r="263" spans="2:20" ht="15.75" customHeight="1">
      <c r="B263" s="5"/>
      <c r="C263" s="5"/>
      <c r="D263" s="5"/>
      <c r="E263" s="5"/>
      <c r="F263" s="5"/>
      <c r="P263" s="33"/>
      <c r="Q263" s="33"/>
      <c r="R263" s="33"/>
      <c r="S263" s="33"/>
      <c r="T263" s="33"/>
    </row>
    <row r="264" spans="2:20" ht="15.75" customHeight="1">
      <c r="B264" s="5"/>
      <c r="C264" s="5"/>
      <c r="D264" s="5"/>
      <c r="E264" s="5"/>
      <c r="F264" s="5"/>
      <c r="P264" s="33"/>
      <c r="Q264" s="33"/>
      <c r="R264" s="33"/>
      <c r="S264" s="33"/>
      <c r="T264" s="33"/>
    </row>
    <row r="265" spans="2:20" ht="15.75" customHeight="1">
      <c r="B265" s="5"/>
      <c r="C265" s="5"/>
      <c r="D265" s="5"/>
      <c r="E265" s="5"/>
      <c r="F265" s="5"/>
      <c r="P265" s="33"/>
      <c r="Q265" s="33"/>
      <c r="R265" s="33"/>
      <c r="S265" s="33"/>
      <c r="T265" s="33"/>
    </row>
    <row r="266" spans="2:20" ht="15.75" customHeight="1">
      <c r="B266" s="5"/>
      <c r="C266" s="5"/>
      <c r="D266" s="5"/>
      <c r="E266" s="5"/>
      <c r="F266" s="5"/>
      <c r="P266" s="33"/>
      <c r="Q266" s="33"/>
      <c r="R266" s="33"/>
      <c r="S266" s="33"/>
      <c r="T266" s="33"/>
    </row>
    <row r="267" spans="2:20" ht="15.75" customHeight="1">
      <c r="B267" s="5"/>
      <c r="C267" s="5"/>
      <c r="D267" s="5"/>
      <c r="E267" s="5"/>
      <c r="F267" s="5"/>
      <c r="P267" s="33"/>
      <c r="Q267" s="33"/>
      <c r="R267" s="33"/>
      <c r="S267" s="33"/>
      <c r="T267" s="33"/>
    </row>
    <row r="268" spans="2:20" ht="15.75" customHeight="1">
      <c r="B268" s="5"/>
      <c r="C268" s="5"/>
      <c r="D268" s="5"/>
      <c r="E268" s="5"/>
      <c r="F268" s="5"/>
      <c r="P268" s="33"/>
      <c r="Q268" s="33"/>
      <c r="R268" s="33"/>
      <c r="S268" s="33"/>
      <c r="T268" s="33"/>
    </row>
    <row r="269" spans="2:20" ht="15.75" customHeight="1">
      <c r="B269" s="5"/>
      <c r="C269" s="5"/>
      <c r="D269" s="5"/>
      <c r="E269" s="5"/>
      <c r="F269" s="5"/>
      <c r="P269" s="33"/>
      <c r="Q269" s="33"/>
      <c r="R269" s="33"/>
      <c r="S269" s="33"/>
      <c r="T269" s="33"/>
    </row>
    <row r="270" spans="2:20" ht="15.75" customHeight="1">
      <c r="B270" s="5"/>
      <c r="C270" s="5"/>
      <c r="D270" s="5"/>
      <c r="E270" s="5"/>
      <c r="F270" s="5"/>
      <c r="P270" s="33"/>
      <c r="Q270" s="33"/>
      <c r="R270" s="33"/>
      <c r="S270" s="33"/>
      <c r="T270" s="33"/>
    </row>
    <row r="271" spans="2:20" ht="15.75" customHeight="1">
      <c r="B271" s="5"/>
      <c r="C271" s="5"/>
      <c r="D271" s="5"/>
      <c r="E271" s="5"/>
      <c r="F271" s="5"/>
      <c r="P271" s="33"/>
      <c r="Q271" s="33"/>
      <c r="R271" s="33"/>
      <c r="S271" s="33"/>
      <c r="T271" s="33"/>
    </row>
    <row r="272" spans="2:20" ht="15.75" customHeight="1">
      <c r="B272" s="5"/>
      <c r="C272" s="5"/>
      <c r="D272" s="5"/>
      <c r="E272" s="5"/>
      <c r="F272" s="5"/>
      <c r="P272" s="33"/>
      <c r="Q272" s="33"/>
      <c r="R272" s="33"/>
      <c r="S272" s="33"/>
      <c r="T272" s="33"/>
    </row>
    <row r="273" spans="2:20" ht="15.75" customHeight="1">
      <c r="B273" s="5"/>
      <c r="C273" s="5"/>
      <c r="D273" s="5"/>
      <c r="E273" s="5"/>
      <c r="F273" s="5"/>
      <c r="P273" s="33"/>
      <c r="Q273" s="33"/>
      <c r="R273" s="33"/>
      <c r="S273" s="33"/>
      <c r="T273" s="33"/>
    </row>
    <row r="274" spans="2:20" ht="15.75" customHeight="1">
      <c r="B274" s="5"/>
      <c r="C274" s="5"/>
      <c r="D274" s="5"/>
      <c r="E274" s="5"/>
      <c r="F274" s="5"/>
      <c r="P274" s="33"/>
      <c r="Q274" s="33"/>
      <c r="R274" s="33"/>
      <c r="S274" s="33"/>
      <c r="T274" s="33"/>
    </row>
    <row r="275" spans="2:20" ht="15.75" customHeight="1">
      <c r="B275" s="5"/>
      <c r="C275" s="5"/>
      <c r="D275" s="5"/>
      <c r="E275" s="5"/>
      <c r="F275" s="5"/>
      <c r="P275" s="33"/>
      <c r="Q275" s="33"/>
      <c r="R275" s="33"/>
      <c r="S275" s="33"/>
      <c r="T275" s="33"/>
    </row>
    <row r="276" spans="2:20" ht="15.75" customHeight="1">
      <c r="B276" s="5"/>
      <c r="C276" s="5"/>
      <c r="D276" s="5"/>
      <c r="E276" s="5"/>
      <c r="F276" s="5"/>
      <c r="P276" s="33"/>
      <c r="Q276" s="33"/>
      <c r="R276" s="33"/>
      <c r="S276" s="33"/>
      <c r="T276" s="33"/>
    </row>
    <row r="277" spans="2:20" ht="15.75" customHeight="1">
      <c r="B277" s="5"/>
      <c r="C277" s="5"/>
      <c r="D277" s="5"/>
      <c r="E277" s="5"/>
      <c r="F277" s="5"/>
      <c r="P277" s="33"/>
      <c r="Q277" s="33"/>
      <c r="R277" s="33"/>
      <c r="S277" s="33"/>
      <c r="T277" s="33"/>
    </row>
    <row r="278" spans="2:20" ht="15.75" customHeight="1">
      <c r="B278" s="5"/>
      <c r="C278" s="5"/>
      <c r="D278" s="5"/>
      <c r="E278" s="5"/>
      <c r="F278" s="5"/>
      <c r="P278" s="33"/>
      <c r="Q278" s="33"/>
      <c r="R278" s="33"/>
      <c r="S278" s="33"/>
      <c r="T278" s="33"/>
    </row>
    <row r="279" spans="2:20" ht="15.75" customHeight="1">
      <c r="B279" s="5"/>
      <c r="C279" s="5"/>
      <c r="D279" s="5"/>
      <c r="E279" s="5"/>
      <c r="F279" s="5"/>
      <c r="P279" s="33"/>
      <c r="Q279" s="33"/>
      <c r="R279" s="33"/>
      <c r="S279" s="33"/>
      <c r="T279" s="33"/>
    </row>
    <row r="280" spans="2:20" ht="15.75" customHeight="1">
      <c r="B280" s="5"/>
      <c r="C280" s="5"/>
      <c r="D280" s="5"/>
      <c r="E280" s="5"/>
      <c r="F280" s="5"/>
      <c r="P280" s="33"/>
      <c r="Q280" s="33"/>
      <c r="R280" s="33"/>
      <c r="S280" s="33"/>
      <c r="T280" s="33"/>
    </row>
    <row r="281" spans="2:20" ht="15.75" customHeight="1">
      <c r="B281" s="5"/>
      <c r="C281" s="5"/>
      <c r="D281" s="5"/>
      <c r="E281" s="5"/>
      <c r="F281" s="5"/>
      <c r="P281" s="33"/>
      <c r="Q281" s="33"/>
      <c r="R281" s="33"/>
      <c r="S281" s="33"/>
      <c r="T281" s="33"/>
    </row>
    <row r="282" spans="2:20" ht="15.75" customHeight="1">
      <c r="B282" s="5"/>
      <c r="C282" s="5"/>
      <c r="D282" s="5"/>
      <c r="E282" s="5"/>
      <c r="F282" s="5"/>
      <c r="P282" s="33"/>
      <c r="Q282" s="33"/>
      <c r="R282" s="33"/>
      <c r="S282" s="33"/>
      <c r="T282" s="33"/>
    </row>
    <row r="283" spans="2:20" ht="15.75" customHeight="1">
      <c r="B283" s="5"/>
      <c r="C283" s="5"/>
      <c r="D283" s="5"/>
      <c r="E283" s="5"/>
      <c r="F283" s="5"/>
      <c r="P283" s="33"/>
      <c r="Q283" s="33"/>
      <c r="R283" s="33"/>
      <c r="S283" s="33"/>
      <c r="T283" s="33"/>
    </row>
    <row r="284" spans="2:20" ht="15.75" customHeight="1">
      <c r="B284" s="5"/>
      <c r="C284" s="5"/>
      <c r="D284" s="5"/>
      <c r="E284" s="5"/>
      <c r="F284" s="5"/>
      <c r="P284" s="33"/>
      <c r="Q284" s="33"/>
      <c r="R284" s="33"/>
      <c r="S284" s="33"/>
      <c r="T284" s="33"/>
    </row>
    <row r="285" spans="2:20" ht="15.75" customHeight="1">
      <c r="B285" s="5"/>
      <c r="C285" s="5"/>
      <c r="D285" s="5"/>
      <c r="E285" s="5"/>
      <c r="F285" s="5"/>
      <c r="P285" s="33"/>
      <c r="Q285" s="33"/>
      <c r="R285" s="33"/>
      <c r="S285" s="33"/>
      <c r="T285" s="33"/>
    </row>
    <row r="286" spans="2:20" ht="15.75" customHeight="1">
      <c r="B286" s="5"/>
      <c r="C286" s="5"/>
      <c r="D286" s="5"/>
      <c r="E286" s="5"/>
      <c r="F286" s="5"/>
      <c r="P286" s="33"/>
      <c r="Q286" s="33"/>
      <c r="R286" s="33"/>
      <c r="S286" s="33"/>
      <c r="T286" s="33"/>
    </row>
    <row r="287" spans="2:20" ht="15.75" customHeight="1">
      <c r="B287" s="5"/>
      <c r="C287" s="5"/>
      <c r="D287" s="5"/>
      <c r="E287" s="5"/>
      <c r="F287" s="5"/>
      <c r="P287" s="33"/>
      <c r="Q287" s="33"/>
      <c r="R287" s="33"/>
      <c r="S287" s="33"/>
      <c r="T287" s="33"/>
    </row>
    <row r="288" spans="2:20" ht="15.75" customHeight="1">
      <c r="B288" s="5"/>
      <c r="C288" s="5"/>
      <c r="D288" s="5"/>
      <c r="E288" s="5"/>
      <c r="F288" s="5"/>
      <c r="P288" s="33"/>
      <c r="Q288" s="33"/>
      <c r="R288" s="33"/>
      <c r="S288" s="33"/>
      <c r="T288" s="33"/>
    </row>
    <row r="289" spans="2:20" ht="15.75" customHeight="1">
      <c r="B289" s="5"/>
      <c r="C289" s="5"/>
      <c r="D289" s="5"/>
      <c r="E289" s="5"/>
      <c r="F289" s="5"/>
      <c r="P289" s="33"/>
      <c r="Q289" s="33"/>
      <c r="R289" s="33"/>
      <c r="S289" s="33"/>
      <c r="T289" s="33"/>
    </row>
    <row r="290" spans="2:20" ht="15.75" customHeight="1">
      <c r="B290" s="5"/>
      <c r="C290" s="5"/>
      <c r="D290" s="5"/>
      <c r="E290" s="5"/>
      <c r="F290" s="5"/>
      <c r="P290" s="33"/>
      <c r="Q290" s="33"/>
      <c r="R290" s="33"/>
      <c r="S290" s="33"/>
      <c r="T290" s="33"/>
    </row>
    <row r="291" spans="2:20" ht="15.75" customHeight="1">
      <c r="B291" s="5"/>
      <c r="C291" s="5"/>
      <c r="D291" s="5"/>
      <c r="E291" s="5"/>
      <c r="F291" s="5"/>
      <c r="P291" s="33"/>
      <c r="Q291" s="33"/>
      <c r="R291" s="33"/>
      <c r="S291" s="33"/>
      <c r="T291" s="33"/>
    </row>
    <row r="292" spans="2:20" ht="15.75" customHeight="1">
      <c r="B292" s="5"/>
      <c r="C292" s="5"/>
      <c r="D292" s="5"/>
      <c r="E292" s="5"/>
      <c r="F292" s="5"/>
      <c r="P292" s="33"/>
      <c r="Q292" s="33"/>
      <c r="R292" s="33"/>
      <c r="S292" s="33"/>
      <c r="T292" s="33"/>
    </row>
    <row r="293" spans="2:20" ht="15.75" customHeight="1">
      <c r="B293" s="5"/>
      <c r="C293" s="5"/>
      <c r="D293" s="5"/>
      <c r="E293" s="5"/>
      <c r="F293" s="5"/>
      <c r="P293" s="33"/>
      <c r="Q293" s="33"/>
      <c r="R293" s="33"/>
      <c r="S293" s="33"/>
      <c r="T293" s="33"/>
    </row>
    <row r="294" spans="2:20" ht="15.75" customHeight="1">
      <c r="B294" s="5"/>
      <c r="C294" s="5"/>
      <c r="D294" s="5"/>
      <c r="E294" s="5"/>
      <c r="F294" s="5"/>
      <c r="P294" s="33"/>
      <c r="Q294" s="33"/>
      <c r="R294" s="33"/>
      <c r="S294" s="33"/>
      <c r="T294" s="33"/>
    </row>
    <row r="295" spans="2:20" ht="15.75" customHeight="1">
      <c r="B295" s="5"/>
      <c r="C295" s="5"/>
      <c r="D295" s="5"/>
      <c r="E295" s="5"/>
      <c r="F295" s="5"/>
      <c r="P295" s="33"/>
      <c r="Q295" s="33"/>
      <c r="R295" s="33"/>
      <c r="S295" s="33"/>
      <c r="T295" s="33"/>
    </row>
    <row r="296" spans="2:20" ht="15.75" customHeight="1">
      <c r="B296" s="5"/>
      <c r="C296" s="5"/>
      <c r="D296" s="5"/>
      <c r="E296" s="5"/>
      <c r="F296" s="5"/>
      <c r="P296" s="33"/>
      <c r="Q296" s="33"/>
      <c r="R296" s="33"/>
      <c r="S296" s="33"/>
      <c r="T296" s="33"/>
    </row>
    <row r="297" spans="2:20" ht="15.75" customHeight="1">
      <c r="B297" s="5"/>
      <c r="C297" s="5"/>
      <c r="D297" s="5"/>
      <c r="E297" s="5"/>
      <c r="F297" s="5"/>
      <c r="P297" s="33"/>
      <c r="Q297" s="33"/>
      <c r="R297" s="33"/>
      <c r="S297" s="33"/>
      <c r="T297" s="33"/>
    </row>
    <row r="298" spans="2:20" ht="15.75" customHeight="1">
      <c r="B298" s="5"/>
      <c r="C298" s="5"/>
      <c r="D298" s="5"/>
      <c r="E298" s="5"/>
      <c r="F298" s="5"/>
      <c r="P298" s="33"/>
      <c r="Q298" s="33"/>
      <c r="R298" s="33"/>
      <c r="S298" s="33"/>
      <c r="T298" s="33"/>
    </row>
    <row r="299" spans="2:20" ht="15.75" customHeight="1">
      <c r="B299" s="5"/>
      <c r="C299" s="5"/>
      <c r="D299" s="5"/>
      <c r="E299" s="5"/>
      <c r="F299" s="5"/>
      <c r="P299" s="33"/>
      <c r="Q299" s="33"/>
      <c r="R299" s="33"/>
      <c r="S299" s="33"/>
      <c r="T299" s="33"/>
    </row>
    <row r="300" spans="2:20" ht="15.75" customHeight="1">
      <c r="B300" s="5"/>
      <c r="C300" s="5"/>
      <c r="D300" s="5"/>
      <c r="E300" s="5"/>
      <c r="F300" s="5"/>
      <c r="P300" s="33"/>
      <c r="Q300" s="33"/>
      <c r="R300" s="33"/>
      <c r="S300" s="33"/>
      <c r="T300" s="33"/>
    </row>
    <row r="301" spans="2:20" ht="15.75" customHeight="1">
      <c r="B301" s="5"/>
      <c r="C301" s="5"/>
      <c r="D301" s="5"/>
      <c r="E301" s="5"/>
      <c r="F301" s="5"/>
      <c r="P301" s="33"/>
      <c r="Q301" s="33"/>
      <c r="R301" s="33"/>
      <c r="S301" s="33"/>
      <c r="T301" s="33"/>
    </row>
    <row r="302" spans="2:20" ht="15.75" customHeight="1">
      <c r="B302" s="5"/>
      <c r="C302" s="5"/>
      <c r="D302" s="5"/>
      <c r="E302" s="5"/>
      <c r="F302" s="5"/>
      <c r="P302" s="33"/>
      <c r="Q302" s="33"/>
      <c r="R302" s="33"/>
      <c r="S302" s="33"/>
      <c r="T302" s="33"/>
    </row>
    <row r="303" spans="2:20" ht="15.75" customHeight="1">
      <c r="B303" s="5"/>
      <c r="C303" s="5"/>
      <c r="D303" s="5"/>
      <c r="E303" s="5"/>
      <c r="F303" s="5"/>
      <c r="P303" s="33"/>
      <c r="Q303" s="33"/>
      <c r="R303" s="33"/>
      <c r="S303" s="33"/>
      <c r="T303" s="33"/>
    </row>
    <row r="304" spans="2:20" ht="15.75" customHeight="1">
      <c r="B304" s="5"/>
      <c r="C304" s="5"/>
      <c r="D304" s="5"/>
      <c r="E304" s="5"/>
      <c r="F304" s="5"/>
      <c r="P304" s="33"/>
      <c r="Q304" s="33"/>
      <c r="R304" s="33"/>
      <c r="S304" s="33"/>
      <c r="T304" s="33"/>
    </row>
    <row r="305" spans="2:20" ht="15.75" customHeight="1">
      <c r="B305" s="5"/>
      <c r="C305" s="5"/>
      <c r="D305" s="5"/>
      <c r="E305" s="5"/>
      <c r="F305" s="5"/>
      <c r="P305" s="33"/>
      <c r="Q305" s="33"/>
      <c r="R305" s="33"/>
      <c r="S305" s="33"/>
      <c r="T305" s="33"/>
    </row>
    <row r="306" spans="2:20" ht="15.75" customHeight="1">
      <c r="B306" s="5"/>
      <c r="C306" s="5"/>
      <c r="D306" s="5"/>
      <c r="E306" s="5"/>
      <c r="F306" s="5"/>
      <c r="P306" s="33"/>
      <c r="Q306" s="33"/>
      <c r="R306" s="33"/>
      <c r="S306" s="33"/>
      <c r="T306" s="33"/>
    </row>
    <row r="307" spans="2:20" ht="15.75" customHeight="1">
      <c r="B307" s="5"/>
      <c r="C307" s="5"/>
      <c r="D307" s="5"/>
      <c r="E307" s="5"/>
      <c r="F307" s="5"/>
      <c r="P307" s="33"/>
      <c r="Q307" s="33"/>
      <c r="R307" s="33"/>
      <c r="S307" s="33"/>
      <c r="T307" s="33"/>
    </row>
    <row r="308" spans="2:20" ht="15.75" customHeight="1">
      <c r="B308" s="5"/>
      <c r="C308" s="5"/>
      <c r="D308" s="5"/>
      <c r="E308" s="5"/>
      <c r="F308" s="5"/>
      <c r="P308" s="33"/>
      <c r="Q308" s="33"/>
      <c r="R308" s="33"/>
      <c r="S308" s="33"/>
      <c r="T308" s="33"/>
    </row>
    <row r="309" spans="2:20" ht="15.75" customHeight="1">
      <c r="B309" s="5"/>
      <c r="C309" s="5"/>
      <c r="D309" s="5"/>
      <c r="E309" s="5"/>
      <c r="F309" s="5"/>
      <c r="P309" s="33"/>
      <c r="Q309" s="33"/>
      <c r="R309" s="33"/>
      <c r="S309" s="33"/>
      <c r="T309" s="33"/>
    </row>
    <row r="310" spans="2:20" ht="15.75" customHeight="1">
      <c r="B310" s="5"/>
      <c r="C310" s="5"/>
      <c r="D310" s="5"/>
      <c r="E310" s="5"/>
      <c r="F310" s="5"/>
      <c r="P310" s="33"/>
      <c r="Q310" s="33"/>
      <c r="R310" s="33"/>
      <c r="S310" s="33"/>
      <c r="T310" s="33"/>
    </row>
    <row r="311" spans="2:20" ht="15.75" customHeight="1">
      <c r="B311" s="5"/>
      <c r="C311" s="5"/>
      <c r="D311" s="5"/>
      <c r="E311" s="5"/>
      <c r="F311" s="5"/>
      <c r="P311" s="33"/>
      <c r="Q311" s="33"/>
      <c r="R311" s="33"/>
      <c r="S311" s="33"/>
      <c r="T311" s="33"/>
    </row>
    <row r="312" spans="2:20" ht="15.75" customHeight="1">
      <c r="B312" s="5"/>
      <c r="C312" s="5"/>
      <c r="D312" s="5"/>
      <c r="E312" s="5"/>
      <c r="F312" s="5"/>
      <c r="P312" s="33"/>
      <c r="Q312" s="33"/>
      <c r="R312" s="33"/>
      <c r="S312" s="33"/>
      <c r="T312" s="33"/>
    </row>
    <row r="313" spans="2:20" ht="15.75" customHeight="1">
      <c r="B313" s="5"/>
      <c r="C313" s="5"/>
      <c r="D313" s="5"/>
      <c r="E313" s="5"/>
      <c r="F313" s="5"/>
      <c r="P313" s="33"/>
      <c r="Q313" s="33"/>
      <c r="R313" s="33"/>
      <c r="S313" s="33"/>
      <c r="T313" s="33"/>
    </row>
    <row r="314" spans="2:20" ht="15.75" customHeight="1">
      <c r="B314" s="5"/>
      <c r="C314" s="5"/>
      <c r="D314" s="5"/>
      <c r="E314" s="5"/>
      <c r="F314" s="5"/>
      <c r="P314" s="33"/>
      <c r="Q314" s="33"/>
      <c r="R314" s="33"/>
      <c r="S314" s="33"/>
      <c r="T314" s="33"/>
    </row>
    <row r="315" spans="2:20" ht="15.75" customHeight="1">
      <c r="B315" s="5"/>
      <c r="C315" s="5"/>
      <c r="D315" s="5"/>
      <c r="E315" s="5"/>
      <c r="F315" s="5"/>
      <c r="P315" s="33"/>
      <c r="Q315" s="33"/>
      <c r="R315" s="33"/>
      <c r="S315" s="33"/>
      <c r="T315" s="33"/>
    </row>
    <row r="316" spans="2:20" ht="15.75" customHeight="1">
      <c r="B316" s="5"/>
      <c r="C316" s="5"/>
      <c r="D316" s="5"/>
      <c r="E316" s="5"/>
      <c r="F316" s="5"/>
      <c r="P316" s="33"/>
      <c r="Q316" s="33"/>
      <c r="R316" s="33"/>
      <c r="S316" s="33"/>
      <c r="T316" s="33"/>
    </row>
    <row r="317" spans="2:20" ht="15.75" customHeight="1">
      <c r="B317" s="5"/>
      <c r="C317" s="5"/>
      <c r="D317" s="5"/>
      <c r="E317" s="5"/>
      <c r="F317" s="5"/>
      <c r="P317" s="33"/>
      <c r="Q317" s="33"/>
      <c r="R317" s="33"/>
      <c r="S317" s="33"/>
      <c r="T317" s="33"/>
    </row>
    <row r="318" spans="2:20" ht="15.75" customHeight="1">
      <c r="B318" s="5"/>
      <c r="C318" s="5"/>
      <c r="D318" s="5"/>
      <c r="E318" s="5"/>
      <c r="F318" s="5"/>
      <c r="P318" s="33"/>
      <c r="Q318" s="33"/>
      <c r="R318" s="33"/>
      <c r="S318" s="33"/>
      <c r="T318" s="33"/>
    </row>
    <row r="319" spans="2:20" ht="15.75" customHeight="1">
      <c r="B319" s="5"/>
      <c r="C319" s="5"/>
      <c r="D319" s="5"/>
      <c r="E319" s="5"/>
      <c r="F319" s="5"/>
      <c r="P319" s="33"/>
      <c r="Q319" s="33"/>
      <c r="R319" s="33"/>
      <c r="S319" s="33"/>
      <c r="T319" s="33"/>
    </row>
    <row r="320" spans="2:20" ht="15.75" customHeight="1">
      <c r="B320" s="5"/>
      <c r="C320" s="5"/>
      <c r="D320" s="5"/>
      <c r="E320" s="5"/>
      <c r="F320" s="5"/>
      <c r="P320" s="33"/>
      <c r="Q320" s="33"/>
      <c r="R320" s="33"/>
      <c r="S320" s="33"/>
      <c r="T320" s="33"/>
    </row>
    <row r="321" spans="2:20" ht="15.75" customHeight="1">
      <c r="B321" s="5"/>
      <c r="C321" s="5"/>
      <c r="D321" s="5"/>
      <c r="E321" s="5"/>
      <c r="F321" s="5"/>
      <c r="P321" s="33"/>
      <c r="Q321" s="33"/>
      <c r="R321" s="33"/>
      <c r="S321" s="33"/>
      <c r="T321" s="33"/>
    </row>
    <row r="322" spans="2:20" ht="15.75" customHeight="1">
      <c r="B322" s="5"/>
      <c r="C322" s="5"/>
      <c r="D322" s="5"/>
      <c r="E322" s="5"/>
      <c r="F322" s="5"/>
      <c r="P322" s="33"/>
      <c r="Q322" s="33"/>
      <c r="R322" s="33"/>
      <c r="S322" s="33"/>
      <c r="T322" s="33"/>
    </row>
    <row r="323" spans="2:20" ht="15.75" customHeight="1">
      <c r="B323" s="5"/>
      <c r="C323" s="5"/>
      <c r="D323" s="5"/>
      <c r="E323" s="5"/>
      <c r="F323" s="5"/>
      <c r="P323" s="33"/>
      <c r="Q323" s="33"/>
      <c r="R323" s="33"/>
      <c r="S323" s="33"/>
      <c r="T323" s="33"/>
    </row>
    <row r="324" spans="2:20" ht="15.75" customHeight="1">
      <c r="B324" s="5"/>
      <c r="C324" s="5"/>
      <c r="D324" s="5"/>
      <c r="E324" s="5"/>
      <c r="F324" s="5"/>
      <c r="P324" s="33"/>
      <c r="Q324" s="33"/>
      <c r="R324" s="33"/>
      <c r="S324" s="33"/>
      <c r="T324" s="33"/>
    </row>
    <row r="325" spans="2:20" ht="15.75" customHeight="1">
      <c r="B325" s="5"/>
      <c r="C325" s="5"/>
      <c r="D325" s="5"/>
      <c r="E325" s="5"/>
      <c r="F325" s="5"/>
      <c r="P325" s="33"/>
      <c r="Q325" s="33"/>
      <c r="R325" s="33"/>
      <c r="S325" s="33"/>
      <c r="T325" s="33"/>
    </row>
    <row r="326" spans="2:20" ht="15.75" customHeight="1">
      <c r="B326" s="5"/>
      <c r="C326" s="5"/>
      <c r="D326" s="5"/>
      <c r="E326" s="5"/>
      <c r="F326" s="5"/>
      <c r="P326" s="33"/>
      <c r="Q326" s="33"/>
      <c r="R326" s="33"/>
      <c r="S326" s="33"/>
      <c r="T326" s="33"/>
    </row>
    <row r="327" spans="2:20" ht="15.75" customHeight="1">
      <c r="B327" s="5"/>
      <c r="C327" s="5"/>
      <c r="D327" s="5"/>
      <c r="E327" s="5"/>
      <c r="F327" s="5"/>
      <c r="P327" s="33"/>
      <c r="Q327" s="33"/>
      <c r="R327" s="33"/>
      <c r="S327" s="33"/>
      <c r="T327" s="33"/>
    </row>
    <row r="328" spans="2:20" ht="15.75" customHeight="1">
      <c r="B328" s="5"/>
      <c r="C328" s="5"/>
      <c r="D328" s="5"/>
      <c r="E328" s="5"/>
      <c r="F328" s="5"/>
      <c r="P328" s="33"/>
      <c r="Q328" s="33"/>
      <c r="R328" s="33"/>
      <c r="S328" s="33"/>
      <c r="T328" s="33"/>
    </row>
    <row r="329" spans="2:20" ht="15.75" customHeight="1">
      <c r="B329" s="5"/>
      <c r="C329" s="5"/>
      <c r="D329" s="5"/>
      <c r="E329" s="5"/>
      <c r="F329" s="5"/>
      <c r="P329" s="33"/>
      <c r="Q329" s="33"/>
      <c r="R329" s="33"/>
      <c r="S329" s="33"/>
      <c r="T329" s="33"/>
    </row>
    <row r="330" spans="2:20" ht="15.75" customHeight="1">
      <c r="B330" s="5"/>
      <c r="C330" s="5"/>
      <c r="D330" s="5"/>
      <c r="E330" s="5"/>
      <c r="F330" s="5"/>
      <c r="P330" s="33"/>
      <c r="Q330" s="33"/>
      <c r="R330" s="33"/>
      <c r="S330" s="33"/>
      <c r="T330" s="33"/>
    </row>
    <row r="331" spans="2:20" ht="15.75" customHeight="1">
      <c r="B331" s="5"/>
      <c r="C331" s="5"/>
      <c r="D331" s="5"/>
      <c r="E331" s="5"/>
      <c r="F331" s="5"/>
      <c r="P331" s="33"/>
      <c r="Q331" s="33"/>
      <c r="R331" s="33"/>
      <c r="S331" s="33"/>
      <c r="T331" s="33"/>
    </row>
    <row r="332" spans="2:20" ht="15.75" customHeight="1">
      <c r="B332" s="5"/>
      <c r="C332" s="5"/>
      <c r="D332" s="5"/>
      <c r="E332" s="5"/>
      <c r="F332" s="5"/>
      <c r="P332" s="33"/>
      <c r="Q332" s="33"/>
      <c r="R332" s="33"/>
      <c r="S332" s="33"/>
      <c r="T332" s="33"/>
    </row>
    <row r="333" spans="2:20" ht="15.75" customHeight="1">
      <c r="B333" s="5"/>
      <c r="C333" s="5"/>
      <c r="D333" s="5"/>
      <c r="E333" s="5"/>
      <c r="F333" s="5"/>
      <c r="P333" s="33"/>
      <c r="Q333" s="33"/>
      <c r="R333" s="33"/>
      <c r="S333" s="33"/>
      <c r="T333" s="33"/>
    </row>
    <row r="334" spans="2:20" ht="15.75" customHeight="1">
      <c r="B334" s="5"/>
      <c r="C334" s="5"/>
      <c r="D334" s="5"/>
      <c r="E334" s="5"/>
      <c r="F334" s="5"/>
      <c r="P334" s="33"/>
      <c r="Q334" s="33"/>
      <c r="R334" s="33"/>
      <c r="S334" s="33"/>
      <c r="T334" s="33"/>
    </row>
    <row r="335" spans="2:20" ht="15.75" customHeight="1">
      <c r="B335" s="5"/>
      <c r="C335" s="5"/>
      <c r="D335" s="5"/>
      <c r="E335" s="5"/>
      <c r="F335" s="5"/>
      <c r="P335" s="33"/>
      <c r="Q335" s="33"/>
      <c r="R335" s="33"/>
      <c r="S335" s="33"/>
      <c r="T335" s="33"/>
    </row>
    <row r="336" spans="2:20" ht="15.75" customHeight="1">
      <c r="B336" s="5"/>
      <c r="C336" s="5"/>
      <c r="D336" s="5"/>
      <c r="E336" s="5"/>
      <c r="F336" s="5"/>
      <c r="P336" s="33"/>
      <c r="Q336" s="33"/>
      <c r="R336" s="33"/>
      <c r="S336" s="33"/>
      <c r="T336" s="33"/>
    </row>
    <row r="337" spans="2:20" ht="15.75" customHeight="1">
      <c r="B337" s="5"/>
      <c r="C337" s="5"/>
      <c r="D337" s="5"/>
      <c r="E337" s="5"/>
      <c r="F337" s="5"/>
      <c r="P337" s="33"/>
      <c r="Q337" s="33"/>
      <c r="R337" s="33"/>
      <c r="S337" s="33"/>
      <c r="T337" s="33"/>
    </row>
    <row r="338" spans="2:20" ht="15.75" customHeight="1">
      <c r="B338" s="5"/>
      <c r="C338" s="5"/>
      <c r="D338" s="5"/>
      <c r="E338" s="5"/>
      <c r="F338" s="5"/>
      <c r="P338" s="33"/>
      <c r="Q338" s="33"/>
      <c r="R338" s="33"/>
      <c r="S338" s="33"/>
      <c r="T338" s="33"/>
    </row>
    <row r="339" spans="2:20" ht="15.75" customHeight="1">
      <c r="B339" s="5"/>
      <c r="C339" s="5"/>
      <c r="D339" s="5"/>
      <c r="E339" s="5"/>
      <c r="F339" s="5"/>
      <c r="P339" s="33"/>
      <c r="Q339" s="33"/>
      <c r="R339" s="33"/>
      <c r="S339" s="33"/>
      <c r="T339" s="33"/>
    </row>
    <row r="340" spans="2:20" ht="15.75" customHeight="1">
      <c r="B340" s="5"/>
      <c r="C340" s="5"/>
      <c r="D340" s="5"/>
      <c r="E340" s="5"/>
      <c r="F340" s="5"/>
      <c r="P340" s="33"/>
      <c r="Q340" s="33"/>
      <c r="R340" s="33"/>
      <c r="S340" s="33"/>
      <c r="T340" s="33"/>
    </row>
    <row r="341" spans="2:20" ht="15.75" customHeight="1">
      <c r="B341" s="5"/>
      <c r="C341" s="5"/>
      <c r="D341" s="5"/>
      <c r="E341" s="5"/>
      <c r="F341" s="5"/>
      <c r="P341" s="33"/>
      <c r="Q341" s="33"/>
      <c r="R341" s="33"/>
      <c r="S341" s="33"/>
      <c r="T341" s="33"/>
    </row>
    <row r="342" spans="2:20" ht="15.75" customHeight="1">
      <c r="B342" s="5"/>
      <c r="C342" s="5"/>
      <c r="D342" s="5"/>
      <c r="E342" s="5"/>
      <c r="F342" s="5"/>
      <c r="P342" s="33"/>
      <c r="Q342" s="33"/>
      <c r="R342" s="33"/>
      <c r="S342" s="33"/>
      <c r="T342" s="33"/>
    </row>
    <row r="343" spans="2:20" ht="15.75" customHeight="1">
      <c r="B343" s="5"/>
      <c r="C343" s="5"/>
      <c r="D343" s="5"/>
      <c r="E343" s="5"/>
      <c r="F343" s="5"/>
      <c r="P343" s="33"/>
      <c r="Q343" s="33"/>
      <c r="R343" s="33"/>
      <c r="S343" s="33"/>
      <c r="T343" s="33"/>
    </row>
    <row r="344" spans="2:20" ht="15.75" customHeight="1">
      <c r="B344" s="5"/>
      <c r="C344" s="5"/>
      <c r="D344" s="5"/>
      <c r="E344" s="5"/>
      <c r="F344" s="5"/>
      <c r="P344" s="33"/>
      <c r="Q344" s="33"/>
      <c r="R344" s="33"/>
      <c r="S344" s="33"/>
      <c r="T344" s="33"/>
    </row>
    <row r="345" spans="2:20" ht="15.75" customHeight="1">
      <c r="B345" s="5"/>
      <c r="C345" s="5"/>
      <c r="D345" s="5"/>
      <c r="E345" s="5"/>
      <c r="F345" s="5"/>
      <c r="P345" s="33"/>
      <c r="Q345" s="33"/>
      <c r="R345" s="33"/>
      <c r="S345" s="33"/>
      <c r="T345" s="33"/>
    </row>
    <row r="346" spans="2:20" ht="15.75" customHeight="1">
      <c r="B346" s="5"/>
      <c r="C346" s="5"/>
      <c r="D346" s="5"/>
      <c r="E346" s="5"/>
      <c r="F346" s="5"/>
      <c r="P346" s="33"/>
      <c r="Q346" s="33"/>
      <c r="R346" s="33"/>
      <c r="S346" s="33"/>
      <c r="T346" s="33"/>
    </row>
    <row r="347" spans="2:20" ht="15.75" customHeight="1">
      <c r="B347" s="5"/>
      <c r="C347" s="5"/>
      <c r="D347" s="5"/>
      <c r="E347" s="5"/>
      <c r="F347" s="5"/>
      <c r="P347" s="33"/>
      <c r="Q347" s="33"/>
      <c r="R347" s="33"/>
      <c r="S347" s="33"/>
      <c r="T347" s="33"/>
    </row>
    <row r="348" spans="2:20" ht="15.75" customHeight="1">
      <c r="B348" s="5"/>
      <c r="C348" s="5"/>
      <c r="D348" s="5"/>
      <c r="E348" s="5"/>
      <c r="F348" s="5"/>
      <c r="P348" s="33"/>
      <c r="Q348" s="33"/>
      <c r="R348" s="33"/>
      <c r="S348" s="33"/>
      <c r="T348" s="33"/>
    </row>
    <row r="349" spans="2:20" ht="15.75" customHeight="1">
      <c r="B349" s="5"/>
      <c r="C349" s="5"/>
      <c r="D349" s="5"/>
      <c r="E349" s="5"/>
      <c r="F349" s="5"/>
      <c r="P349" s="33"/>
      <c r="Q349" s="33"/>
      <c r="R349" s="33"/>
      <c r="S349" s="33"/>
      <c r="T349" s="33"/>
    </row>
    <row r="350" spans="2:20" ht="15.75" customHeight="1">
      <c r="B350" s="5"/>
      <c r="C350" s="5"/>
      <c r="D350" s="5"/>
      <c r="E350" s="5"/>
      <c r="F350" s="5"/>
      <c r="P350" s="33"/>
      <c r="Q350" s="33"/>
      <c r="R350" s="33"/>
      <c r="S350" s="33"/>
      <c r="T350" s="33"/>
    </row>
    <row r="351" spans="2:20" ht="15.75" customHeight="1">
      <c r="B351" s="5"/>
      <c r="C351" s="5"/>
      <c r="D351" s="5"/>
      <c r="E351" s="5"/>
      <c r="F351" s="5"/>
      <c r="P351" s="33"/>
      <c r="Q351" s="33"/>
      <c r="R351" s="33"/>
      <c r="S351" s="33"/>
      <c r="T351" s="33"/>
    </row>
    <row r="352" spans="2:20" ht="15.75" customHeight="1">
      <c r="B352" s="5"/>
      <c r="C352" s="5"/>
      <c r="D352" s="5"/>
      <c r="E352" s="5"/>
      <c r="F352" s="5"/>
      <c r="P352" s="33"/>
      <c r="Q352" s="33"/>
      <c r="R352" s="33"/>
      <c r="S352" s="33"/>
      <c r="T352" s="33"/>
    </row>
    <row r="353" spans="2:20" ht="15.75" customHeight="1">
      <c r="B353" s="5"/>
      <c r="C353" s="5"/>
      <c r="D353" s="5"/>
      <c r="E353" s="5"/>
      <c r="F353" s="5"/>
      <c r="P353" s="33"/>
      <c r="Q353" s="33"/>
      <c r="R353" s="33"/>
      <c r="S353" s="33"/>
      <c r="T353" s="33"/>
    </row>
    <row r="354" spans="2:20" ht="15.75" customHeight="1">
      <c r="B354" s="5"/>
      <c r="C354" s="5"/>
      <c r="D354" s="5"/>
      <c r="E354" s="5"/>
      <c r="F354" s="5"/>
      <c r="P354" s="33"/>
      <c r="Q354" s="33"/>
      <c r="R354" s="33"/>
      <c r="S354" s="33"/>
      <c r="T354" s="33"/>
    </row>
    <row r="355" spans="2:20" ht="15.75" customHeight="1">
      <c r="B355" s="5"/>
      <c r="C355" s="5"/>
      <c r="D355" s="5"/>
      <c r="E355" s="5"/>
      <c r="F355" s="5"/>
      <c r="P355" s="33"/>
      <c r="Q355" s="33"/>
      <c r="R355" s="33"/>
      <c r="S355" s="33"/>
      <c r="T355" s="33"/>
    </row>
    <row r="356" spans="2:20" ht="15.75" customHeight="1">
      <c r="B356" s="5"/>
      <c r="C356" s="5"/>
      <c r="D356" s="5"/>
      <c r="E356" s="5"/>
      <c r="F356" s="5"/>
      <c r="P356" s="33"/>
      <c r="Q356" s="33"/>
      <c r="R356" s="33"/>
      <c r="S356" s="33"/>
      <c r="T356" s="33"/>
    </row>
    <row r="357" spans="2:20" ht="15.75" customHeight="1">
      <c r="B357" s="5"/>
      <c r="C357" s="5"/>
      <c r="D357" s="5"/>
      <c r="E357" s="5"/>
      <c r="F357" s="5"/>
      <c r="P357" s="33"/>
      <c r="Q357" s="33"/>
      <c r="R357" s="33"/>
      <c r="S357" s="33"/>
      <c r="T357" s="33"/>
    </row>
    <row r="358" spans="2:20" ht="15.75" customHeight="1">
      <c r="B358" s="5"/>
      <c r="C358" s="5"/>
      <c r="D358" s="5"/>
      <c r="E358" s="5"/>
      <c r="F358" s="5"/>
      <c r="P358" s="33"/>
      <c r="Q358" s="33"/>
      <c r="R358" s="33"/>
      <c r="S358" s="33"/>
      <c r="T358" s="33"/>
    </row>
    <row r="359" spans="2:20" ht="15.75" customHeight="1">
      <c r="B359" s="5"/>
      <c r="C359" s="5"/>
      <c r="D359" s="5"/>
      <c r="E359" s="5"/>
      <c r="F359" s="5"/>
      <c r="P359" s="33"/>
      <c r="Q359" s="33"/>
      <c r="R359" s="33"/>
      <c r="S359" s="33"/>
      <c r="T359" s="33"/>
    </row>
    <row r="360" spans="2:20" ht="15.75" customHeight="1">
      <c r="B360" s="5"/>
      <c r="C360" s="5"/>
      <c r="D360" s="5"/>
      <c r="E360" s="5"/>
      <c r="F360" s="5"/>
      <c r="P360" s="33"/>
      <c r="Q360" s="33"/>
      <c r="R360" s="33"/>
      <c r="S360" s="33"/>
      <c r="T360" s="33"/>
    </row>
    <row r="361" spans="2:20" ht="15.75" customHeight="1">
      <c r="B361" s="5"/>
      <c r="C361" s="5"/>
      <c r="D361" s="5"/>
      <c r="E361" s="5"/>
      <c r="F361" s="5"/>
      <c r="P361" s="33"/>
      <c r="Q361" s="33"/>
      <c r="R361" s="33"/>
      <c r="S361" s="33"/>
      <c r="T361" s="33"/>
    </row>
    <row r="362" spans="2:20" ht="15.75" customHeight="1">
      <c r="B362" s="5"/>
      <c r="C362" s="5"/>
      <c r="D362" s="5"/>
      <c r="E362" s="5"/>
      <c r="F362" s="5"/>
      <c r="P362" s="33"/>
      <c r="Q362" s="33"/>
      <c r="R362" s="33"/>
      <c r="S362" s="33"/>
      <c r="T362" s="33"/>
    </row>
    <row r="363" spans="2:20" ht="15.75" customHeight="1">
      <c r="B363" s="5"/>
      <c r="C363" s="5"/>
      <c r="D363" s="5"/>
      <c r="E363" s="5"/>
      <c r="F363" s="5"/>
      <c r="P363" s="33"/>
      <c r="Q363" s="33"/>
      <c r="R363" s="33"/>
      <c r="S363" s="33"/>
      <c r="T363" s="33"/>
    </row>
    <row r="364" spans="2:20" ht="15.75" customHeight="1">
      <c r="B364" s="5"/>
      <c r="C364" s="5"/>
      <c r="D364" s="5"/>
      <c r="E364" s="5"/>
      <c r="F364" s="5"/>
      <c r="P364" s="33"/>
      <c r="Q364" s="33"/>
      <c r="R364" s="33"/>
      <c r="S364" s="33"/>
      <c r="T364" s="33"/>
    </row>
    <row r="365" spans="2:20" ht="15.75" customHeight="1">
      <c r="B365" s="5"/>
      <c r="C365" s="5"/>
      <c r="D365" s="5"/>
      <c r="E365" s="5"/>
      <c r="F365" s="5"/>
      <c r="P365" s="33"/>
      <c r="Q365" s="33"/>
      <c r="R365" s="33"/>
      <c r="S365" s="33"/>
      <c r="T365" s="33"/>
    </row>
    <row r="366" spans="2:20" ht="15.75" customHeight="1">
      <c r="B366" s="5"/>
      <c r="C366" s="5"/>
      <c r="D366" s="5"/>
      <c r="E366" s="5"/>
      <c r="F366" s="5"/>
      <c r="P366" s="33"/>
      <c r="Q366" s="33"/>
      <c r="R366" s="33"/>
      <c r="S366" s="33"/>
      <c r="T366" s="33"/>
    </row>
    <row r="367" spans="2:20" ht="15.75" customHeight="1">
      <c r="B367" s="5"/>
      <c r="C367" s="5"/>
      <c r="D367" s="5"/>
      <c r="E367" s="5"/>
      <c r="F367" s="5"/>
      <c r="P367" s="33"/>
      <c r="Q367" s="33"/>
      <c r="R367" s="33"/>
      <c r="S367" s="33"/>
      <c r="T367" s="33"/>
    </row>
    <row r="368" spans="2:20" ht="15.75" customHeight="1">
      <c r="B368" s="5"/>
      <c r="C368" s="5"/>
      <c r="D368" s="5"/>
      <c r="E368" s="5"/>
      <c r="F368" s="5"/>
      <c r="P368" s="33"/>
      <c r="Q368" s="33"/>
      <c r="R368" s="33"/>
      <c r="S368" s="33"/>
      <c r="T368" s="33"/>
    </row>
    <row r="369" spans="2:20" ht="15.75" customHeight="1">
      <c r="B369" s="5"/>
      <c r="C369" s="5"/>
      <c r="D369" s="5"/>
      <c r="E369" s="5"/>
      <c r="F369" s="5"/>
      <c r="P369" s="33"/>
      <c r="Q369" s="33"/>
      <c r="R369" s="33"/>
      <c r="S369" s="33"/>
      <c r="T369" s="33"/>
    </row>
    <row r="370" spans="2:20" ht="15.75" customHeight="1">
      <c r="B370" s="5"/>
      <c r="C370" s="5"/>
      <c r="D370" s="5"/>
      <c r="E370" s="5"/>
      <c r="F370" s="5"/>
      <c r="P370" s="33"/>
      <c r="Q370" s="33"/>
      <c r="R370" s="33"/>
      <c r="S370" s="33"/>
      <c r="T370" s="33"/>
    </row>
    <row r="371" spans="2:20" ht="15.75" customHeight="1">
      <c r="B371" s="5"/>
      <c r="C371" s="5"/>
      <c r="D371" s="5"/>
      <c r="E371" s="5"/>
      <c r="F371" s="5"/>
      <c r="P371" s="33"/>
      <c r="Q371" s="33"/>
      <c r="R371" s="33"/>
      <c r="S371" s="33"/>
      <c r="T371" s="33"/>
    </row>
    <row r="372" spans="2:20" ht="15.75" customHeight="1">
      <c r="B372" s="5"/>
      <c r="C372" s="5"/>
      <c r="D372" s="5"/>
      <c r="E372" s="5"/>
      <c r="F372" s="5"/>
      <c r="P372" s="33"/>
      <c r="Q372" s="33"/>
      <c r="R372" s="33"/>
      <c r="S372" s="33"/>
      <c r="T372" s="33"/>
    </row>
    <row r="373" spans="2:20" ht="15.75" customHeight="1">
      <c r="B373" s="5"/>
      <c r="C373" s="5"/>
      <c r="D373" s="5"/>
      <c r="E373" s="5"/>
      <c r="F373" s="5"/>
      <c r="P373" s="33"/>
      <c r="Q373" s="33"/>
      <c r="R373" s="33"/>
      <c r="S373" s="33"/>
      <c r="T373" s="33"/>
    </row>
    <row r="374" spans="2:20" ht="15.75" customHeight="1">
      <c r="B374" s="5"/>
      <c r="C374" s="5"/>
      <c r="D374" s="5"/>
      <c r="E374" s="5"/>
      <c r="F374" s="5"/>
      <c r="P374" s="33"/>
      <c r="Q374" s="33"/>
      <c r="R374" s="33"/>
      <c r="S374" s="33"/>
      <c r="T374" s="33"/>
    </row>
    <row r="375" spans="2:20" ht="15.75" customHeight="1">
      <c r="B375" s="5"/>
      <c r="C375" s="5"/>
      <c r="D375" s="5"/>
      <c r="E375" s="5"/>
      <c r="F375" s="5"/>
      <c r="P375" s="33"/>
      <c r="Q375" s="33"/>
      <c r="R375" s="33"/>
      <c r="S375" s="33"/>
      <c r="T375" s="33"/>
    </row>
    <row r="376" spans="2:20" ht="15.75" customHeight="1">
      <c r="B376" s="5"/>
      <c r="C376" s="5"/>
      <c r="D376" s="5"/>
      <c r="E376" s="5"/>
      <c r="F376" s="5"/>
      <c r="P376" s="33"/>
      <c r="Q376" s="33"/>
      <c r="R376" s="33"/>
      <c r="S376" s="33"/>
      <c r="T376" s="33"/>
    </row>
    <row r="377" spans="2:20" ht="15.75" customHeight="1">
      <c r="B377" s="5"/>
      <c r="C377" s="5"/>
      <c r="D377" s="5"/>
      <c r="E377" s="5"/>
      <c r="F377" s="5"/>
      <c r="P377" s="33"/>
      <c r="Q377" s="33"/>
      <c r="R377" s="33"/>
      <c r="S377" s="33"/>
      <c r="T377" s="33"/>
    </row>
    <row r="378" spans="2:20" ht="15.75" customHeight="1">
      <c r="B378" s="5"/>
      <c r="C378" s="5"/>
      <c r="D378" s="5"/>
      <c r="E378" s="5"/>
      <c r="F378" s="5"/>
      <c r="P378" s="33"/>
      <c r="Q378" s="33"/>
      <c r="R378" s="33"/>
      <c r="S378" s="33"/>
      <c r="T378" s="33"/>
    </row>
    <row r="379" spans="2:20" ht="15.75" customHeight="1">
      <c r="B379" s="5"/>
      <c r="C379" s="5"/>
      <c r="D379" s="5"/>
      <c r="E379" s="5"/>
      <c r="F379" s="5"/>
      <c r="P379" s="33"/>
      <c r="Q379" s="33"/>
      <c r="R379" s="33"/>
      <c r="S379" s="33"/>
      <c r="T379" s="33"/>
    </row>
    <row r="380" spans="2:20" ht="15.75" customHeight="1">
      <c r="B380" s="5"/>
      <c r="C380" s="5"/>
      <c r="D380" s="5"/>
      <c r="E380" s="5"/>
      <c r="F380" s="5"/>
      <c r="P380" s="33"/>
      <c r="Q380" s="33"/>
      <c r="R380" s="33"/>
      <c r="S380" s="33"/>
      <c r="T380" s="33"/>
    </row>
    <row r="381" spans="2:20" ht="15.75" customHeight="1">
      <c r="B381" s="5"/>
      <c r="C381" s="5"/>
      <c r="D381" s="5"/>
      <c r="E381" s="5"/>
      <c r="F381" s="5"/>
      <c r="P381" s="33"/>
      <c r="Q381" s="33"/>
      <c r="R381" s="33"/>
      <c r="S381" s="33"/>
      <c r="T381" s="33"/>
    </row>
    <row r="382" spans="2:20" ht="15.75" customHeight="1">
      <c r="B382" s="5"/>
      <c r="C382" s="5"/>
      <c r="D382" s="5"/>
      <c r="E382" s="5"/>
      <c r="F382" s="5"/>
      <c r="P382" s="33"/>
      <c r="Q382" s="33"/>
      <c r="R382" s="33"/>
      <c r="S382" s="33"/>
      <c r="T382" s="33"/>
    </row>
    <row r="383" spans="2:20" ht="15.75" customHeight="1">
      <c r="B383" s="5"/>
      <c r="C383" s="5"/>
      <c r="D383" s="5"/>
      <c r="E383" s="5"/>
      <c r="F383" s="5"/>
      <c r="P383" s="33"/>
      <c r="Q383" s="33"/>
      <c r="R383" s="33"/>
      <c r="S383" s="33"/>
      <c r="T383" s="33"/>
    </row>
    <row r="384" spans="2:20" ht="15.75" customHeight="1">
      <c r="B384" s="5"/>
      <c r="C384" s="5"/>
      <c r="D384" s="5"/>
      <c r="E384" s="5"/>
      <c r="F384" s="5"/>
      <c r="P384" s="33"/>
      <c r="Q384" s="33"/>
      <c r="R384" s="33"/>
      <c r="S384" s="33"/>
      <c r="T384" s="33"/>
    </row>
    <row r="385" spans="2:20" ht="15.75" customHeight="1">
      <c r="B385" s="5"/>
      <c r="C385" s="5"/>
      <c r="D385" s="5"/>
      <c r="E385" s="5"/>
      <c r="F385" s="5"/>
      <c r="P385" s="33"/>
      <c r="Q385" s="33"/>
      <c r="R385" s="33"/>
      <c r="S385" s="33"/>
      <c r="T385" s="33"/>
    </row>
    <row r="386" spans="2:20" ht="15.75" customHeight="1">
      <c r="B386" s="5"/>
      <c r="C386" s="5"/>
      <c r="D386" s="5"/>
      <c r="E386" s="5"/>
      <c r="F386" s="5"/>
      <c r="P386" s="33"/>
      <c r="Q386" s="33"/>
      <c r="R386" s="33"/>
      <c r="S386" s="33"/>
      <c r="T386" s="33"/>
    </row>
    <row r="387" spans="2:20" ht="15.75" customHeight="1">
      <c r="B387" s="5"/>
      <c r="C387" s="5"/>
      <c r="D387" s="5"/>
      <c r="E387" s="5"/>
      <c r="F387" s="5"/>
      <c r="P387" s="33"/>
      <c r="Q387" s="33"/>
      <c r="R387" s="33"/>
      <c r="S387" s="33"/>
      <c r="T387" s="33"/>
    </row>
    <row r="388" spans="2:20" ht="15.75" customHeight="1">
      <c r="B388" s="5"/>
      <c r="C388" s="5"/>
      <c r="D388" s="5"/>
      <c r="E388" s="5"/>
      <c r="F388" s="5"/>
      <c r="P388" s="33"/>
      <c r="Q388" s="33"/>
      <c r="R388" s="33"/>
      <c r="S388" s="33"/>
      <c r="T388" s="33"/>
    </row>
    <row r="389" spans="2:20" ht="15.75" customHeight="1">
      <c r="B389" s="5"/>
      <c r="C389" s="5"/>
      <c r="D389" s="5"/>
      <c r="E389" s="5"/>
      <c r="F389" s="5"/>
      <c r="P389" s="33"/>
      <c r="Q389" s="33"/>
      <c r="R389" s="33"/>
      <c r="S389" s="33"/>
      <c r="T389" s="33"/>
    </row>
    <row r="390" spans="2:20" ht="15.75" customHeight="1">
      <c r="B390" s="5"/>
      <c r="C390" s="5"/>
      <c r="D390" s="5"/>
      <c r="E390" s="5"/>
      <c r="F390" s="5"/>
      <c r="P390" s="33"/>
      <c r="Q390" s="33"/>
      <c r="R390" s="33"/>
      <c r="S390" s="33"/>
      <c r="T390" s="33"/>
    </row>
    <row r="391" spans="2:20" ht="15.75" customHeight="1">
      <c r="B391" s="5"/>
      <c r="C391" s="5"/>
      <c r="D391" s="5"/>
      <c r="E391" s="5"/>
      <c r="F391" s="5"/>
      <c r="P391" s="33"/>
      <c r="Q391" s="33"/>
      <c r="R391" s="33"/>
      <c r="S391" s="33"/>
      <c r="T391" s="33"/>
    </row>
    <row r="392" spans="2:20" ht="15.75" customHeight="1">
      <c r="B392" s="5"/>
      <c r="C392" s="5"/>
      <c r="D392" s="5"/>
      <c r="E392" s="5"/>
      <c r="F392" s="5"/>
      <c r="P392" s="33"/>
      <c r="Q392" s="33"/>
      <c r="R392" s="33"/>
      <c r="S392" s="33"/>
      <c r="T392" s="33"/>
    </row>
    <row r="393" spans="2:20" ht="15.75" customHeight="1">
      <c r="B393" s="5"/>
      <c r="C393" s="5"/>
      <c r="D393" s="5"/>
      <c r="E393" s="5"/>
      <c r="F393" s="5"/>
      <c r="P393" s="33"/>
      <c r="Q393" s="33"/>
      <c r="R393" s="33"/>
      <c r="S393" s="33"/>
      <c r="T393" s="33"/>
    </row>
    <row r="394" spans="2:20" ht="15.75" customHeight="1">
      <c r="B394" s="5"/>
      <c r="C394" s="5"/>
      <c r="D394" s="5"/>
      <c r="E394" s="5"/>
      <c r="F394" s="5"/>
      <c r="P394" s="33"/>
      <c r="Q394" s="33"/>
      <c r="R394" s="33"/>
      <c r="S394" s="33"/>
      <c r="T394" s="33"/>
    </row>
    <row r="395" spans="2:20" ht="15.75" customHeight="1">
      <c r="B395" s="5"/>
      <c r="C395" s="5"/>
      <c r="D395" s="5"/>
      <c r="E395" s="5"/>
      <c r="F395" s="5"/>
      <c r="P395" s="33"/>
      <c r="Q395" s="33"/>
      <c r="R395" s="33"/>
      <c r="S395" s="33"/>
      <c r="T395" s="33"/>
    </row>
    <row r="396" spans="2:20" ht="15.75" customHeight="1">
      <c r="B396" s="5"/>
      <c r="C396" s="5"/>
      <c r="D396" s="5"/>
      <c r="E396" s="5"/>
      <c r="F396" s="5"/>
      <c r="P396" s="33"/>
      <c r="Q396" s="33"/>
      <c r="R396" s="33"/>
      <c r="S396" s="33"/>
      <c r="T396" s="33"/>
    </row>
    <row r="397" spans="2:20" ht="15.75" customHeight="1">
      <c r="B397" s="5"/>
      <c r="C397" s="5"/>
      <c r="D397" s="5"/>
      <c r="E397" s="5"/>
      <c r="F397" s="5"/>
      <c r="P397" s="33"/>
      <c r="Q397" s="33"/>
      <c r="R397" s="33"/>
      <c r="S397" s="33"/>
      <c r="T397" s="33"/>
    </row>
    <row r="398" spans="2:20" ht="15.75" customHeight="1">
      <c r="B398" s="5"/>
      <c r="C398" s="5"/>
      <c r="D398" s="5"/>
      <c r="E398" s="5"/>
      <c r="F398" s="5"/>
      <c r="P398" s="33"/>
      <c r="Q398" s="33"/>
      <c r="R398" s="33"/>
      <c r="S398" s="33"/>
      <c r="T398" s="33"/>
    </row>
    <row r="399" spans="2:20" ht="15.75" customHeight="1">
      <c r="B399" s="5"/>
      <c r="C399" s="5"/>
      <c r="D399" s="5"/>
      <c r="E399" s="5"/>
      <c r="F399" s="5"/>
      <c r="P399" s="33"/>
      <c r="Q399" s="33"/>
      <c r="R399" s="33"/>
      <c r="S399" s="33"/>
      <c r="T399" s="33"/>
    </row>
    <row r="400" spans="2:20" ht="15.75" customHeight="1">
      <c r="B400" s="5"/>
      <c r="C400" s="5"/>
      <c r="D400" s="5"/>
      <c r="E400" s="5"/>
      <c r="F400" s="5"/>
      <c r="P400" s="33"/>
      <c r="Q400" s="33"/>
      <c r="R400" s="33"/>
      <c r="S400" s="33"/>
      <c r="T400" s="33"/>
    </row>
    <row r="401" spans="2:20" ht="15.75" customHeight="1">
      <c r="B401" s="5"/>
      <c r="C401" s="5"/>
      <c r="D401" s="5"/>
      <c r="E401" s="5"/>
      <c r="F401" s="5"/>
      <c r="P401" s="33"/>
      <c r="Q401" s="33"/>
      <c r="R401" s="33"/>
      <c r="S401" s="33"/>
      <c r="T401" s="33"/>
    </row>
    <row r="402" spans="2:20" ht="15.75" customHeight="1">
      <c r="B402" s="5"/>
      <c r="C402" s="5"/>
      <c r="D402" s="5"/>
      <c r="E402" s="5"/>
      <c r="F402" s="5"/>
      <c r="P402" s="33"/>
      <c r="Q402" s="33"/>
      <c r="R402" s="33"/>
      <c r="S402" s="33"/>
      <c r="T402" s="33"/>
    </row>
    <row r="403" spans="2:20" ht="15.75" customHeight="1">
      <c r="B403" s="5"/>
      <c r="C403" s="5"/>
      <c r="D403" s="5"/>
      <c r="E403" s="5"/>
      <c r="F403" s="5"/>
      <c r="P403" s="33"/>
      <c r="Q403" s="33"/>
      <c r="R403" s="33"/>
      <c r="S403" s="33"/>
      <c r="T403" s="33"/>
    </row>
    <row r="404" spans="2:20" ht="15.75" customHeight="1">
      <c r="B404" s="5"/>
      <c r="C404" s="5"/>
      <c r="D404" s="5"/>
      <c r="E404" s="5"/>
      <c r="F404" s="5"/>
      <c r="P404" s="33"/>
      <c r="Q404" s="33"/>
      <c r="R404" s="33"/>
      <c r="S404" s="33"/>
      <c r="T404" s="33"/>
    </row>
    <row r="405" spans="2:20" ht="15.75" customHeight="1">
      <c r="B405" s="5"/>
      <c r="C405" s="5"/>
      <c r="D405" s="5"/>
      <c r="E405" s="5"/>
      <c r="F405" s="5"/>
      <c r="P405" s="33"/>
      <c r="Q405" s="33"/>
      <c r="R405" s="33"/>
      <c r="S405" s="33"/>
      <c r="T405" s="33"/>
    </row>
    <row r="406" spans="2:20" ht="15.75" customHeight="1">
      <c r="B406" s="5"/>
      <c r="C406" s="5"/>
      <c r="D406" s="5"/>
      <c r="E406" s="5"/>
      <c r="F406" s="5"/>
      <c r="P406" s="33"/>
      <c r="Q406" s="33"/>
      <c r="R406" s="33"/>
      <c r="S406" s="33"/>
      <c r="T406" s="33"/>
    </row>
    <row r="407" spans="2:20" ht="15.75" customHeight="1">
      <c r="B407" s="5"/>
      <c r="C407" s="5"/>
      <c r="D407" s="5"/>
      <c r="E407" s="5"/>
      <c r="F407" s="5"/>
      <c r="P407" s="33"/>
      <c r="Q407" s="33"/>
      <c r="R407" s="33"/>
      <c r="S407" s="33"/>
      <c r="T407" s="33"/>
    </row>
    <row r="408" spans="2:20" ht="15.75" customHeight="1">
      <c r="B408" s="5"/>
      <c r="C408" s="5"/>
      <c r="D408" s="5"/>
      <c r="E408" s="5"/>
      <c r="F408" s="5"/>
      <c r="P408" s="33"/>
      <c r="Q408" s="33"/>
      <c r="R408" s="33"/>
      <c r="S408" s="33"/>
      <c r="T408" s="33"/>
    </row>
    <row r="409" spans="2:20" ht="15.75" customHeight="1">
      <c r="B409" s="5"/>
      <c r="C409" s="5"/>
      <c r="D409" s="5"/>
      <c r="E409" s="5"/>
      <c r="F409" s="5"/>
      <c r="P409" s="33"/>
      <c r="Q409" s="33"/>
      <c r="R409" s="33"/>
      <c r="S409" s="33"/>
      <c r="T409" s="33"/>
    </row>
    <row r="410" spans="2:20" ht="15.75" customHeight="1">
      <c r="B410" s="5"/>
      <c r="C410" s="5"/>
      <c r="D410" s="5"/>
      <c r="E410" s="5"/>
      <c r="F410" s="5"/>
      <c r="P410" s="33"/>
      <c r="Q410" s="33"/>
      <c r="R410" s="33"/>
      <c r="S410" s="33"/>
      <c r="T410" s="33"/>
    </row>
    <row r="411" spans="2:20" ht="15.75" customHeight="1">
      <c r="B411" s="5"/>
      <c r="C411" s="5"/>
      <c r="D411" s="5"/>
      <c r="E411" s="5"/>
      <c r="F411" s="5"/>
      <c r="P411" s="33"/>
      <c r="Q411" s="33"/>
      <c r="R411" s="33"/>
      <c r="S411" s="33"/>
      <c r="T411" s="33"/>
    </row>
    <row r="412" spans="2:20" ht="15.75" customHeight="1">
      <c r="B412" s="5"/>
      <c r="C412" s="5"/>
      <c r="D412" s="5"/>
      <c r="E412" s="5"/>
      <c r="F412" s="5"/>
      <c r="P412" s="33"/>
      <c r="Q412" s="33"/>
      <c r="R412" s="33"/>
      <c r="S412" s="33"/>
      <c r="T412" s="33"/>
    </row>
    <row r="413" spans="2:20" ht="15.75" customHeight="1">
      <c r="B413" s="5"/>
      <c r="C413" s="5"/>
      <c r="D413" s="5"/>
      <c r="E413" s="5"/>
      <c r="F413" s="5"/>
      <c r="P413" s="33"/>
      <c r="Q413" s="33"/>
      <c r="R413" s="33"/>
      <c r="S413" s="33"/>
      <c r="T413" s="33"/>
    </row>
    <row r="414" spans="2:20" ht="15.75" customHeight="1">
      <c r="B414" s="5"/>
      <c r="C414" s="5"/>
      <c r="D414" s="5"/>
      <c r="E414" s="5"/>
      <c r="F414" s="5"/>
      <c r="P414" s="33"/>
      <c r="Q414" s="33"/>
      <c r="R414" s="33"/>
      <c r="S414" s="33"/>
      <c r="T414" s="33"/>
    </row>
    <row r="415" spans="2:20" ht="15.75" customHeight="1">
      <c r="B415" s="5"/>
      <c r="C415" s="5"/>
      <c r="D415" s="5"/>
      <c r="E415" s="5"/>
      <c r="F415" s="5"/>
      <c r="P415" s="33"/>
      <c r="Q415" s="33"/>
      <c r="R415" s="33"/>
      <c r="S415" s="33"/>
      <c r="T415" s="33"/>
    </row>
    <row r="416" spans="2:20" ht="15.75" customHeight="1">
      <c r="B416" s="5"/>
      <c r="C416" s="5"/>
      <c r="D416" s="5"/>
      <c r="E416" s="5"/>
      <c r="F416" s="5"/>
      <c r="P416" s="33"/>
      <c r="Q416" s="33"/>
      <c r="R416" s="33"/>
      <c r="S416" s="33"/>
      <c r="T416" s="33"/>
    </row>
    <row r="417" spans="2:20" ht="15.75" customHeight="1">
      <c r="B417" s="5"/>
      <c r="C417" s="5"/>
      <c r="D417" s="5"/>
      <c r="E417" s="5"/>
      <c r="F417" s="5"/>
      <c r="P417" s="33"/>
      <c r="Q417" s="33"/>
      <c r="R417" s="33"/>
      <c r="S417" s="33"/>
      <c r="T417" s="33"/>
    </row>
    <row r="418" spans="2:20" ht="15.75" customHeight="1">
      <c r="B418" s="5"/>
      <c r="C418" s="5"/>
      <c r="D418" s="5"/>
      <c r="E418" s="5"/>
      <c r="F418" s="5"/>
      <c r="P418" s="33"/>
      <c r="Q418" s="33"/>
      <c r="R418" s="33"/>
      <c r="S418" s="33"/>
      <c r="T418" s="33"/>
    </row>
    <row r="419" spans="2:20" ht="15.75" customHeight="1">
      <c r="B419" s="5"/>
      <c r="C419" s="5"/>
      <c r="D419" s="5"/>
      <c r="E419" s="5"/>
      <c r="F419" s="5"/>
      <c r="P419" s="33"/>
      <c r="Q419" s="33"/>
      <c r="R419" s="33"/>
      <c r="S419" s="33"/>
      <c r="T419" s="33"/>
    </row>
    <row r="420" spans="2:20" ht="15.75" customHeight="1">
      <c r="B420" s="5"/>
      <c r="C420" s="5"/>
      <c r="D420" s="5"/>
      <c r="E420" s="5"/>
      <c r="F420" s="5"/>
      <c r="P420" s="33"/>
      <c r="Q420" s="33"/>
      <c r="R420" s="33"/>
      <c r="S420" s="33"/>
      <c r="T420" s="33"/>
    </row>
    <row r="421" spans="2:20" ht="15.75" customHeight="1">
      <c r="B421" s="5"/>
      <c r="C421" s="5"/>
      <c r="D421" s="5"/>
      <c r="E421" s="5"/>
      <c r="F421" s="5"/>
      <c r="P421" s="33"/>
      <c r="Q421" s="33"/>
      <c r="R421" s="33"/>
      <c r="S421" s="33"/>
      <c r="T421" s="33"/>
    </row>
    <row r="422" spans="2:20" ht="15.75" customHeight="1">
      <c r="B422" s="5"/>
      <c r="C422" s="5"/>
      <c r="D422" s="5"/>
      <c r="E422" s="5"/>
      <c r="F422" s="5"/>
      <c r="P422" s="33"/>
      <c r="Q422" s="33"/>
      <c r="R422" s="33"/>
      <c r="S422" s="33"/>
      <c r="T422" s="33"/>
    </row>
    <row r="423" spans="2:20" ht="15.75" customHeight="1">
      <c r="B423" s="5"/>
      <c r="C423" s="5"/>
      <c r="D423" s="5"/>
      <c r="E423" s="5"/>
      <c r="F423" s="5"/>
      <c r="P423" s="33"/>
      <c r="Q423" s="33"/>
      <c r="R423" s="33"/>
      <c r="S423" s="33"/>
      <c r="T423" s="33"/>
    </row>
    <row r="424" spans="2:20" ht="15.75" customHeight="1">
      <c r="B424" s="5"/>
      <c r="C424" s="5"/>
      <c r="D424" s="5"/>
      <c r="E424" s="5"/>
      <c r="F424" s="5"/>
      <c r="P424" s="33"/>
      <c r="Q424" s="33"/>
      <c r="R424" s="33"/>
      <c r="S424" s="33"/>
      <c r="T424" s="33"/>
    </row>
    <row r="425" spans="2:20" ht="15.75" customHeight="1">
      <c r="B425" s="5"/>
      <c r="C425" s="5"/>
      <c r="D425" s="5"/>
      <c r="E425" s="5"/>
      <c r="F425" s="5"/>
      <c r="P425" s="33"/>
      <c r="Q425" s="33"/>
      <c r="R425" s="33"/>
      <c r="S425" s="33"/>
      <c r="T425" s="33"/>
    </row>
    <row r="426" spans="2:20" ht="15.75" customHeight="1">
      <c r="B426" s="5"/>
      <c r="C426" s="5"/>
      <c r="D426" s="5"/>
      <c r="E426" s="5"/>
      <c r="F426" s="5"/>
      <c r="P426" s="33"/>
      <c r="Q426" s="33"/>
      <c r="R426" s="33"/>
      <c r="S426" s="33"/>
      <c r="T426" s="33"/>
    </row>
    <row r="427" spans="2:20" ht="15.75" customHeight="1">
      <c r="B427" s="5"/>
      <c r="C427" s="5"/>
      <c r="D427" s="5"/>
      <c r="E427" s="5"/>
      <c r="F427" s="5"/>
      <c r="P427" s="33"/>
      <c r="Q427" s="33"/>
      <c r="R427" s="33"/>
      <c r="S427" s="33"/>
      <c r="T427" s="33"/>
    </row>
    <row r="428" spans="2:20" ht="15.75" customHeight="1">
      <c r="B428" s="5"/>
      <c r="C428" s="5"/>
      <c r="D428" s="5"/>
      <c r="E428" s="5"/>
      <c r="F428" s="5"/>
      <c r="P428" s="33"/>
      <c r="Q428" s="33"/>
      <c r="R428" s="33"/>
      <c r="S428" s="33"/>
      <c r="T428" s="33"/>
    </row>
    <row r="429" spans="2:20" ht="15.75" customHeight="1">
      <c r="B429" s="5"/>
      <c r="C429" s="5"/>
      <c r="D429" s="5"/>
      <c r="E429" s="5"/>
      <c r="F429" s="5"/>
      <c r="P429" s="33"/>
      <c r="Q429" s="33"/>
      <c r="R429" s="33"/>
      <c r="S429" s="33"/>
      <c r="T429" s="33"/>
    </row>
    <row r="430" spans="2:20" ht="15.75" customHeight="1">
      <c r="B430" s="5"/>
      <c r="C430" s="5"/>
      <c r="D430" s="5"/>
      <c r="E430" s="5"/>
      <c r="F430" s="5"/>
      <c r="P430" s="33"/>
      <c r="Q430" s="33"/>
      <c r="R430" s="33"/>
      <c r="S430" s="33"/>
      <c r="T430" s="33"/>
    </row>
    <row r="431" spans="2:20" ht="15.75" customHeight="1">
      <c r="B431" s="5"/>
      <c r="C431" s="5"/>
      <c r="D431" s="5"/>
      <c r="E431" s="5"/>
      <c r="F431" s="5"/>
      <c r="P431" s="33"/>
      <c r="Q431" s="33"/>
      <c r="R431" s="33"/>
      <c r="S431" s="33"/>
      <c r="T431" s="33"/>
    </row>
    <row r="432" spans="2:20" ht="15.75" customHeight="1">
      <c r="B432" s="5"/>
      <c r="C432" s="5"/>
      <c r="D432" s="5"/>
      <c r="E432" s="5"/>
      <c r="F432" s="5"/>
      <c r="P432" s="33"/>
      <c r="Q432" s="33"/>
      <c r="R432" s="33"/>
      <c r="S432" s="33"/>
      <c r="T432" s="33"/>
    </row>
    <row r="433" spans="2:20" ht="15.75" customHeight="1">
      <c r="B433" s="5"/>
      <c r="C433" s="5"/>
      <c r="D433" s="5"/>
      <c r="E433" s="5"/>
      <c r="F433" s="5"/>
      <c r="P433" s="33"/>
      <c r="Q433" s="33"/>
      <c r="R433" s="33"/>
      <c r="S433" s="33"/>
      <c r="T433" s="33"/>
    </row>
    <row r="434" spans="2:20" ht="15.75" customHeight="1">
      <c r="B434" s="5"/>
      <c r="C434" s="5"/>
      <c r="D434" s="5"/>
      <c r="E434" s="5"/>
      <c r="F434" s="5"/>
      <c r="P434" s="33"/>
      <c r="Q434" s="33"/>
      <c r="R434" s="33"/>
      <c r="S434" s="33"/>
      <c r="T434" s="33"/>
    </row>
    <row r="435" spans="2:20" ht="15.75" customHeight="1">
      <c r="B435" s="5"/>
      <c r="C435" s="5"/>
      <c r="D435" s="5"/>
      <c r="E435" s="5"/>
      <c r="F435" s="5"/>
      <c r="P435" s="33"/>
      <c r="Q435" s="33"/>
      <c r="R435" s="33"/>
      <c r="S435" s="33"/>
      <c r="T435" s="33"/>
    </row>
    <row r="436" spans="2:20" ht="15.75" customHeight="1">
      <c r="B436" s="5"/>
      <c r="C436" s="5"/>
      <c r="D436" s="5"/>
      <c r="E436" s="5"/>
      <c r="F436" s="5"/>
      <c r="P436" s="33"/>
      <c r="Q436" s="33"/>
      <c r="R436" s="33"/>
      <c r="S436" s="33"/>
      <c r="T436" s="33"/>
    </row>
    <row r="437" spans="2:20" ht="15.75" customHeight="1">
      <c r="B437" s="5"/>
      <c r="C437" s="5"/>
      <c r="D437" s="5"/>
      <c r="E437" s="5"/>
      <c r="F437" s="5"/>
      <c r="P437" s="33"/>
      <c r="Q437" s="33"/>
      <c r="R437" s="33"/>
      <c r="S437" s="33"/>
      <c r="T437" s="33"/>
    </row>
    <row r="438" spans="2:20" ht="15.75" customHeight="1">
      <c r="B438" s="5"/>
      <c r="C438" s="5"/>
      <c r="D438" s="5"/>
      <c r="E438" s="5"/>
      <c r="F438" s="5"/>
      <c r="P438" s="33"/>
      <c r="Q438" s="33"/>
      <c r="R438" s="33"/>
      <c r="S438" s="33"/>
      <c r="T438" s="33"/>
    </row>
    <row r="439" spans="2:20" ht="15.75" customHeight="1">
      <c r="B439" s="5"/>
      <c r="C439" s="5"/>
      <c r="D439" s="5"/>
      <c r="E439" s="5"/>
      <c r="F439" s="5"/>
      <c r="P439" s="33"/>
      <c r="Q439" s="33"/>
      <c r="R439" s="33"/>
      <c r="S439" s="33"/>
      <c r="T439" s="33"/>
    </row>
    <row r="440" spans="2:20" ht="15.75" customHeight="1">
      <c r="B440" s="5"/>
      <c r="C440" s="5"/>
      <c r="D440" s="5"/>
      <c r="E440" s="5"/>
      <c r="F440" s="5"/>
      <c r="P440" s="33"/>
      <c r="Q440" s="33"/>
      <c r="R440" s="33"/>
      <c r="S440" s="33"/>
      <c r="T440" s="33"/>
    </row>
    <row r="441" spans="2:20" ht="15.75" customHeight="1">
      <c r="B441" s="5"/>
      <c r="C441" s="5"/>
      <c r="D441" s="5"/>
      <c r="E441" s="5"/>
      <c r="F441" s="5"/>
      <c r="P441" s="33"/>
      <c r="Q441" s="33"/>
      <c r="R441" s="33"/>
      <c r="S441" s="33"/>
      <c r="T441" s="33"/>
    </row>
    <row r="442" spans="2:20" ht="15.75" customHeight="1">
      <c r="B442" s="5"/>
      <c r="C442" s="5"/>
      <c r="D442" s="5"/>
      <c r="E442" s="5"/>
      <c r="F442" s="5"/>
      <c r="P442" s="33"/>
      <c r="Q442" s="33"/>
      <c r="R442" s="33"/>
      <c r="S442" s="33"/>
      <c r="T442" s="33"/>
    </row>
    <row r="443" spans="2:20" ht="15.75" customHeight="1">
      <c r="B443" s="5"/>
      <c r="C443" s="5"/>
      <c r="D443" s="5"/>
      <c r="E443" s="5"/>
      <c r="F443" s="5"/>
      <c r="P443" s="33"/>
      <c r="Q443" s="33"/>
      <c r="R443" s="33"/>
      <c r="S443" s="33"/>
      <c r="T443" s="33"/>
    </row>
    <row r="444" spans="2:20" ht="15.75" customHeight="1">
      <c r="B444" s="5"/>
      <c r="C444" s="5"/>
      <c r="D444" s="5"/>
      <c r="E444" s="5"/>
      <c r="F444" s="5"/>
      <c r="P444" s="33"/>
      <c r="Q444" s="33"/>
      <c r="R444" s="33"/>
      <c r="S444" s="33"/>
      <c r="T444" s="33"/>
    </row>
    <row r="445" spans="2:20" ht="15.75" customHeight="1">
      <c r="B445" s="5"/>
      <c r="C445" s="5"/>
      <c r="D445" s="5"/>
      <c r="E445" s="5"/>
      <c r="F445" s="5"/>
      <c r="P445" s="33"/>
      <c r="Q445" s="33"/>
      <c r="R445" s="33"/>
      <c r="S445" s="33"/>
      <c r="T445" s="33"/>
    </row>
    <row r="446" spans="2:20" ht="15.75" customHeight="1">
      <c r="B446" s="5"/>
      <c r="C446" s="5"/>
      <c r="D446" s="5"/>
      <c r="E446" s="5"/>
      <c r="F446" s="5"/>
      <c r="P446" s="33"/>
      <c r="Q446" s="33"/>
      <c r="R446" s="33"/>
      <c r="S446" s="33"/>
      <c r="T446" s="33"/>
    </row>
    <row r="447" spans="2:20" ht="15.75" customHeight="1">
      <c r="B447" s="5"/>
      <c r="C447" s="5"/>
      <c r="D447" s="5"/>
      <c r="E447" s="5"/>
      <c r="F447" s="5"/>
      <c r="P447" s="33"/>
      <c r="Q447" s="33"/>
      <c r="R447" s="33"/>
      <c r="S447" s="33"/>
      <c r="T447" s="33"/>
    </row>
    <row r="448" spans="2:20" ht="15.75" customHeight="1">
      <c r="B448" s="5"/>
      <c r="C448" s="5"/>
      <c r="D448" s="5"/>
      <c r="E448" s="5"/>
      <c r="F448" s="5"/>
      <c r="P448" s="33"/>
      <c r="Q448" s="33"/>
      <c r="R448" s="33"/>
      <c r="S448" s="33"/>
      <c r="T448" s="33"/>
    </row>
    <row r="449" spans="2:20" ht="15.75" customHeight="1">
      <c r="B449" s="5"/>
      <c r="C449" s="5"/>
      <c r="D449" s="5"/>
      <c r="E449" s="5"/>
      <c r="F449" s="5"/>
      <c r="P449" s="33"/>
      <c r="Q449" s="33"/>
      <c r="R449" s="33"/>
      <c r="S449" s="33"/>
      <c r="T449" s="33"/>
    </row>
    <row r="450" spans="2:20" ht="15.75" customHeight="1">
      <c r="B450" s="5"/>
      <c r="C450" s="5"/>
      <c r="D450" s="5"/>
      <c r="E450" s="5"/>
      <c r="F450" s="5"/>
      <c r="P450" s="33"/>
      <c r="Q450" s="33"/>
      <c r="R450" s="33"/>
      <c r="S450" s="33"/>
      <c r="T450" s="33"/>
    </row>
    <row r="451" spans="2:20" ht="15.75" customHeight="1">
      <c r="B451" s="5"/>
      <c r="C451" s="5"/>
      <c r="D451" s="5"/>
      <c r="E451" s="5"/>
      <c r="F451" s="5"/>
      <c r="P451" s="33"/>
      <c r="Q451" s="33"/>
      <c r="R451" s="33"/>
      <c r="S451" s="33"/>
      <c r="T451" s="33"/>
    </row>
    <row r="452" spans="2:20" ht="15.75" customHeight="1">
      <c r="B452" s="5"/>
      <c r="C452" s="5"/>
      <c r="D452" s="5"/>
      <c r="E452" s="5"/>
      <c r="F452" s="5"/>
      <c r="P452" s="33"/>
      <c r="Q452" s="33"/>
      <c r="R452" s="33"/>
      <c r="S452" s="33"/>
      <c r="T452" s="33"/>
    </row>
    <row r="453" spans="2:20" ht="15.75" customHeight="1">
      <c r="B453" s="5"/>
      <c r="C453" s="5"/>
      <c r="D453" s="5"/>
      <c r="E453" s="5"/>
      <c r="F453" s="5"/>
      <c r="P453" s="33"/>
      <c r="Q453" s="33"/>
      <c r="R453" s="33"/>
      <c r="S453" s="33"/>
      <c r="T453" s="33"/>
    </row>
    <row r="454" spans="2:20" ht="15.75" customHeight="1">
      <c r="B454" s="5"/>
      <c r="C454" s="5"/>
      <c r="D454" s="5"/>
      <c r="E454" s="5"/>
      <c r="F454" s="5"/>
      <c r="P454" s="33"/>
      <c r="Q454" s="33"/>
      <c r="R454" s="33"/>
      <c r="S454" s="33"/>
      <c r="T454" s="33"/>
    </row>
    <row r="455" spans="2:20" ht="15.75" customHeight="1">
      <c r="B455" s="5"/>
      <c r="C455" s="5"/>
      <c r="D455" s="5"/>
      <c r="E455" s="5"/>
      <c r="F455" s="5"/>
      <c r="P455" s="33"/>
      <c r="Q455" s="33"/>
      <c r="R455" s="33"/>
      <c r="S455" s="33"/>
      <c r="T455" s="33"/>
    </row>
    <row r="456" spans="2:20" ht="15.75" customHeight="1">
      <c r="B456" s="5"/>
      <c r="C456" s="5"/>
      <c r="D456" s="5"/>
      <c r="E456" s="5"/>
      <c r="F456" s="5"/>
      <c r="P456" s="33"/>
      <c r="Q456" s="33"/>
      <c r="R456" s="33"/>
      <c r="S456" s="33"/>
      <c r="T456" s="33"/>
    </row>
    <row r="457" spans="2:20" ht="15.75" customHeight="1">
      <c r="B457" s="5"/>
      <c r="C457" s="5"/>
      <c r="D457" s="5"/>
      <c r="E457" s="5"/>
      <c r="F457" s="5"/>
      <c r="P457" s="33"/>
      <c r="Q457" s="33"/>
      <c r="R457" s="33"/>
      <c r="S457" s="33"/>
      <c r="T457" s="33"/>
    </row>
    <row r="458" spans="2:20" ht="15.75" customHeight="1">
      <c r="B458" s="5"/>
      <c r="C458" s="5"/>
      <c r="D458" s="5"/>
      <c r="E458" s="5"/>
      <c r="F458" s="5"/>
      <c r="P458" s="33"/>
      <c r="Q458" s="33"/>
      <c r="R458" s="33"/>
      <c r="S458" s="33"/>
      <c r="T458" s="33"/>
    </row>
    <row r="459" spans="2:20" ht="15.75" customHeight="1">
      <c r="B459" s="5"/>
      <c r="C459" s="5"/>
      <c r="D459" s="5"/>
      <c r="E459" s="5"/>
      <c r="F459" s="5"/>
      <c r="P459" s="33"/>
      <c r="Q459" s="33"/>
      <c r="R459" s="33"/>
      <c r="S459" s="33"/>
      <c r="T459" s="33"/>
    </row>
    <row r="460" spans="2:20" ht="15.75" customHeight="1">
      <c r="B460" s="5"/>
      <c r="C460" s="5"/>
      <c r="D460" s="5"/>
      <c r="E460" s="5"/>
      <c r="F460" s="5"/>
      <c r="P460" s="33"/>
      <c r="Q460" s="33"/>
      <c r="R460" s="33"/>
      <c r="S460" s="33"/>
      <c r="T460" s="33"/>
    </row>
    <row r="461" spans="2:20" ht="15.75" customHeight="1">
      <c r="B461" s="5"/>
      <c r="C461" s="5"/>
      <c r="D461" s="5"/>
      <c r="E461" s="5"/>
      <c r="F461" s="5"/>
      <c r="P461" s="33"/>
      <c r="Q461" s="33"/>
      <c r="R461" s="33"/>
      <c r="S461" s="33"/>
      <c r="T461" s="33"/>
    </row>
    <row r="462" spans="2:20" ht="15.75" customHeight="1">
      <c r="B462" s="5"/>
      <c r="C462" s="5"/>
      <c r="D462" s="5"/>
      <c r="E462" s="5"/>
      <c r="F462" s="5"/>
      <c r="P462" s="33"/>
      <c r="Q462" s="33"/>
      <c r="R462" s="33"/>
      <c r="S462" s="33"/>
      <c r="T462" s="33"/>
    </row>
    <row r="463" spans="2:20" ht="15.75" customHeight="1">
      <c r="B463" s="5"/>
      <c r="C463" s="5"/>
      <c r="D463" s="5"/>
      <c r="E463" s="5"/>
      <c r="F463" s="5"/>
      <c r="P463" s="33"/>
      <c r="Q463" s="33"/>
      <c r="R463" s="33"/>
      <c r="S463" s="33"/>
      <c r="T463" s="33"/>
    </row>
    <row r="464" spans="2:20" ht="15.75" customHeight="1">
      <c r="B464" s="5"/>
      <c r="C464" s="5"/>
      <c r="D464" s="5"/>
      <c r="E464" s="5"/>
      <c r="F464" s="5"/>
      <c r="P464" s="33"/>
      <c r="Q464" s="33"/>
      <c r="R464" s="33"/>
      <c r="S464" s="33"/>
      <c r="T464" s="33"/>
    </row>
    <row r="465" spans="2:20" ht="15.75" customHeight="1">
      <c r="B465" s="5"/>
      <c r="C465" s="5"/>
      <c r="D465" s="5"/>
      <c r="E465" s="5"/>
      <c r="F465" s="5"/>
      <c r="P465" s="33"/>
      <c r="Q465" s="33"/>
      <c r="R465" s="33"/>
      <c r="S465" s="33"/>
      <c r="T465" s="33"/>
    </row>
    <row r="466" spans="2:20" ht="15.75" customHeight="1">
      <c r="B466" s="5"/>
      <c r="C466" s="5"/>
      <c r="D466" s="5"/>
      <c r="E466" s="5"/>
      <c r="F466" s="5"/>
      <c r="P466" s="33"/>
      <c r="Q466" s="33"/>
      <c r="R466" s="33"/>
      <c r="S466" s="33"/>
      <c r="T466" s="33"/>
    </row>
    <row r="467" spans="2:20" ht="15.75" customHeight="1">
      <c r="B467" s="5"/>
      <c r="C467" s="5"/>
      <c r="D467" s="5"/>
      <c r="E467" s="5"/>
      <c r="F467" s="5"/>
      <c r="P467" s="33"/>
      <c r="Q467" s="33"/>
      <c r="R467" s="33"/>
      <c r="S467" s="33"/>
      <c r="T467" s="33"/>
    </row>
    <row r="468" spans="2:20" ht="15.75" customHeight="1">
      <c r="B468" s="5"/>
      <c r="C468" s="5"/>
      <c r="D468" s="5"/>
      <c r="E468" s="5"/>
      <c r="F468" s="5"/>
      <c r="P468" s="33"/>
      <c r="Q468" s="33"/>
      <c r="R468" s="33"/>
      <c r="S468" s="33"/>
      <c r="T468" s="33"/>
    </row>
    <row r="469" spans="2:20" ht="15.75" customHeight="1">
      <c r="B469" s="5"/>
      <c r="C469" s="5"/>
      <c r="D469" s="5"/>
      <c r="E469" s="5"/>
      <c r="F469" s="5"/>
      <c r="P469" s="33"/>
      <c r="Q469" s="33"/>
      <c r="R469" s="33"/>
      <c r="S469" s="33"/>
      <c r="T469" s="33"/>
    </row>
    <row r="470" spans="2:20" ht="15.75" customHeight="1">
      <c r="B470" s="5"/>
      <c r="C470" s="5"/>
      <c r="D470" s="5"/>
      <c r="E470" s="5"/>
      <c r="F470" s="5"/>
      <c r="P470" s="33"/>
      <c r="Q470" s="33"/>
      <c r="R470" s="33"/>
      <c r="S470" s="33"/>
      <c r="T470" s="33"/>
    </row>
    <row r="471" spans="2:20" ht="15.75" customHeight="1">
      <c r="B471" s="5"/>
      <c r="C471" s="5"/>
      <c r="D471" s="5"/>
      <c r="E471" s="5"/>
      <c r="F471" s="5"/>
      <c r="P471" s="33"/>
      <c r="Q471" s="33"/>
      <c r="R471" s="33"/>
      <c r="S471" s="33"/>
      <c r="T471" s="33"/>
    </row>
    <row r="472" spans="2:20" ht="15.75" customHeight="1">
      <c r="B472" s="5"/>
      <c r="C472" s="5"/>
      <c r="D472" s="5"/>
      <c r="E472" s="5"/>
      <c r="F472" s="5"/>
      <c r="P472" s="33"/>
      <c r="Q472" s="33"/>
      <c r="R472" s="33"/>
      <c r="S472" s="33"/>
      <c r="T472" s="33"/>
    </row>
    <row r="473" spans="2:20" ht="15.75" customHeight="1">
      <c r="B473" s="5"/>
      <c r="C473" s="5"/>
      <c r="D473" s="5"/>
      <c r="E473" s="5"/>
      <c r="F473" s="5"/>
      <c r="P473" s="33"/>
      <c r="Q473" s="33"/>
      <c r="R473" s="33"/>
      <c r="S473" s="33"/>
      <c r="T473" s="33"/>
    </row>
    <row r="474" spans="2:20" ht="15.75" customHeight="1">
      <c r="B474" s="5"/>
      <c r="C474" s="5"/>
      <c r="D474" s="5"/>
      <c r="E474" s="5"/>
      <c r="F474" s="5"/>
      <c r="P474" s="33"/>
      <c r="Q474" s="33"/>
      <c r="R474" s="33"/>
      <c r="S474" s="33"/>
      <c r="T474" s="33"/>
    </row>
    <row r="475" spans="2:20" ht="15.75" customHeight="1">
      <c r="B475" s="5"/>
      <c r="C475" s="5"/>
      <c r="D475" s="5"/>
      <c r="E475" s="5"/>
      <c r="F475" s="5"/>
      <c r="P475" s="33"/>
      <c r="Q475" s="33"/>
      <c r="R475" s="33"/>
      <c r="S475" s="33"/>
      <c r="T475" s="33"/>
    </row>
    <row r="476" spans="2:20" ht="15.75" customHeight="1">
      <c r="B476" s="5"/>
      <c r="C476" s="5"/>
      <c r="D476" s="5"/>
      <c r="E476" s="5"/>
      <c r="F476" s="5"/>
      <c r="P476" s="33"/>
      <c r="Q476" s="33"/>
      <c r="R476" s="33"/>
      <c r="S476" s="33"/>
      <c r="T476" s="33"/>
    </row>
    <row r="477" spans="2:20" ht="15.75" customHeight="1">
      <c r="B477" s="5"/>
      <c r="C477" s="5"/>
      <c r="D477" s="5"/>
      <c r="E477" s="5"/>
      <c r="F477" s="5"/>
      <c r="P477" s="33"/>
      <c r="Q477" s="33"/>
      <c r="R477" s="33"/>
      <c r="S477" s="33"/>
      <c r="T477" s="33"/>
    </row>
    <row r="478" spans="2:20" ht="15.75" customHeight="1">
      <c r="B478" s="5"/>
      <c r="C478" s="5"/>
      <c r="D478" s="5"/>
      <c r="E478" s="5"/>
      <c r="F478" s="5"/>
      <c r="P478" s="33"/>
      <c r="Q478" s="33"/>
      <c r="R478" s="33"/>
      <c r="S478" s="33"/>
      <c r="T478" s="33"/>
    </row>
    <row r="479" spans="2:20" ht="15.75" customHeight="1">
      <c r="B479" s="5"/>
      <c r="C479" s="5"/>
      <c r="D479" s="5"/>
      <c r="E479" s="5"/>
      <c r="F479" s="5"/>
      <c r="P479" s="33"/>
      <c r="Q479" s="33"/>
      <c r="R479" s="33"/>
      <c r="S479" s="33"/>
      <c r="T479" s="33"/>
    </row>
    <row r="480" spans="2:20" ht="15.75" customHeight="1">
      <c r="B480" s="5"/>
      <c r="C480" s="5"/>
      <c r="D480" s="5"/>
      <c r="E480" s="5"/>
      <c r="F480" s="5"/>
      <c r="P480" s="33"/>
      <c r="Q480" s="33"/>
      <c r="R480" s="33"/>
      <c r="S480" s="33"/>
      <c r="T480" s="33"/>
    </row>
    <row r="481" spans="2:20" ht="15.75" customHeight="1">
      <c r="B481" s="5"/>
      <c r="C481" s="5"/>
      <c r="D481" s="5"/>
      <c r="E481" s="5"/>
      <c r="F481" s="5"/>
      <c r="P481" s="33"/>
      <c r="Q481" s="33"/>
      <c r="R481" s="33"/>
      <c r="S481" s="33"/>
      <c r="T481" s="33"/>
    </row>
    <row r="482" spans="2:20" ht="15.75" customHeight="1">
      <c r="B482" s="5"/>
      <c r="C482" s="5"/>
      <c r="D482" s="5"/>
      <c r="E482" s="5"/>
      <c r="F482" s="5"/>
      <c r="P482" s="33"/>
      <c r="Q482" s="33"/>
      <c r="R482" s="33"/>
      <c r="S482" s="33"/>
      <c r="T482" s="33"/>
    </row>
    <row r="483" spans="2:20" ht="15.75" customHeight="1">
      <c r="B483" s="5"/>
      <c r="C483" s="5"/>
      <c r="D483" s="5"/>
      <c r="E483" s="5"/>
      <c r="F483" s="5"/>
      <c r="P483" s="33"/>
      <c r="Q483" s="33"/>
      <c r="R483" s="33"/>
      <c r="S483" s="33"/>
      <c r="T483" s="33"/>
    </row>
    <row r="484" spans="2:20" ht="15.75" customHeight="1">
      <c r="B484" s="5"/>
      <c r="C484" s="5"/>
      <c r="D484" s="5"/>
      <c r="E484" s="5"/>
      <c r="F484" s="5"/>
      <c r="P484" s="33"/>
      <c r="Q484" s="33"/>
      <c r="R484" s="33"/>
      <c r="S484" s="33"/>
      <c r="T484" s="33"/>
    </row>
    <row r="485" spans="2:20" ht="15.75" customHeight="1">
      <c r="B485" s="5"/>
      <c r="C485" s="5"/>
      <c r="D485" s="5"/>
      <c r="E485" s="5"/>
      <c r="F485" s="5"/>
      <c r="P485" s="33"/>
      <c r="Q485" s="33"/>
      <c r="R485" s="33"/>
      <c r="S485" s="33"/>
      <c r="T485" s="33"/>
    </row>
    <row r="486" spans="2:20" ht="15.75" customHeight="1">
      <c r="B486" s="5"/>
      <c r="C486" s="5"/>
      <c r="D486" s="5"/>
      <c r="E486" s="5"/>
      <c r="F486" s="5"/>
      <c r="P486" s="33"/>
      <c r="Q486" s="33"/>
      <c r="R486" s="33"/>
      <c r="S486" s="33"/>
      <c r="T486" s="33"/>
    </row>
    <row r="487" spans="2:20" ht="15.75" customHeight="1">
      <c r="B487" s="5"/>
      <c r="C487" s="5"/>
      <c r="D487" s="5"/>
      <c r="E487" s="5"/>
      <c r="F487" s="5"/>
      <c r="P487" s="33"/>
      <c r="Q487" s="33"/>
      <c r="R487" s="33"/>
      <c r="S487" s="33"/>
      <c r="T487" s="33"/>
    </row>
    <row r="488" spans="2:20" ht="15.75" customHeight="1">
      <c r="B488" s="5"/>
      <c r="C488" s="5"/>
      <c r="D488" s="5"/>
      <c r="E488" s="5"/>
      <c r="F488" s="5"/>
      <c r="P488" s="33"/>
      <c r="Q488" s="33"/>
      <c r="R488" s="33"/>
      <c r="S488" s="33"/>
      <c r="T488" s="33"/>
    </row>
    <row r="489" spans="2:20" ht="15.75" customHeight="1">
      <c r="B489" s="5"/>
      <c r="C489" s="5"/>
      <c r="D489" s="5"/>
      <c r="E489" s="5"/>
      <c r="F489" s="5"/>
      <c r="P489" s="33"/>
      <c r="Q489" s="33"/>
      <c r="R489" s="33"/>
      <c r="S489" s="33"/>
      <c r="T489" s="33"/>
    </row>
    <row r="490" spans="2:20" ht="15.75" customHeight="1">
      <c r="B490" s="5"/>
      <c r="C490" s="5"/>
      <c r="D490" s="5"/>
      <c r="E490" s="5"/>
      <c r="F490" s="5"/>
      <c r="P490" s="33"/>
      <c r="Q490" s="33"/>
      <c r="R490" s="33"/>
      <c r="S490" s="33"/>
      <c r="T490" s="33"/>
    </row>
    <row r="491" spans="2:20" ht="15.75" customHeight="1">
      <c r="B491" s="5"/>
      <c r="C491" s="5"/>
      <c r="D491" s="5"/>
      <c r="E491" s="5"/>
      <c r="F491" s="5"/>
      <c r="P491" s="33"/>
      <c r="Q491" s="33"/>
      <c r="R491" s="33"/>
      <c r="S491" s="33"/>
      <c r="T491" s="33"/>
    </row>
    <row r="492" spans="2:20" ht="15.75" customHeight="1">
      <c r="B492" s="5"/>
      <c r="C492" s="5"/>
      <c r="D492" s="5"/>
      <c r="E492" s="5"/>
      <c r="F492" s="5"/>
      <c r="P492" s="33"/>
      <c r="Q492" s="33"/>
      <c r="R492" s="33"/>
      <c r="S492" s="33"/>
      <c r="T492" s="33"/>
    </row>
    <row r="493" spans="2:20" ht="15.75" customHeight="1">
      <c r="B493" s="5"/>
      <c r="C493" s="5"/>
      <c r="D493" s="5"/>
      <c r="E493" s="5"/>
      <c r="F493" s="5"/>
      <c r="P493" s="33"/>
      <c r="Q493" s="33"/>
      <c r="R493" s="33"/>
      <c r="S493" s="33"/>
      <c r="T493" s="33"/>
    </row>
    <row r="494" spans="2:20" ht="15.75" customHeight="1">
      <c r="B494" s="5"/>
      <c r="C494" s="5"/>
      <c r="D494" s="5"/>
      <c r="E494" s="5"/>
      <c r="F494" s="5"/>
      <c r="P494" s="33"/>
      <c r="Q494" s="33"/>
      <c r="R494" s="33"/>
      <c r="S494" s="33"/>
      <c r="T494" s="33"/>
    </row>
    <row r="495" spans="2:20" ht="15.75" customHeight="1">
      <c r="B495" s="5"/>
      <c r="C495" s="5"/>
      <c r="D495" s="5"/>
      <c r="E495" s="5"/>
      <c r="F495" s="5"/>
      <c r="P495" s="33"/>
      <c r="Q495" s="33"/>
      <c r="R495" s="33"/>
      <c r="S495" s="33"/>
      <c r="T495" s="33"/>
    </row>
    <row r="496" spans="2:20" ht="15.75" customHeight="1">
      <c r="B496" s="5"/>
      <c r="C496" s="5"/>
      <c r="D496" s="5"/>
      <c r="E496" s="5"/>
      <c r="F496" s="5"/>
      <c r="P496" s="33"/>
      <c r="Q496" s="33"/>
      <c r="R496" s="33"/>
      <c r="S496" s="33"/>
      <c r="T496" s="33"/>
    </row>
    <row r="497" spans="2:20" ht="15.75" customHeight="1">
      <c r="B497" s="5"/>
      <c r="C497" s="5"/>
      <c r="D497" s="5"/>
      <c r="E497" s="5"/>
      <c r="F497" s="5"/>
      <c r="P497" s="33"/>
      <c r="Q497" s="33"/>
      <c r="R497" s="33"/>
      <c r="S497" s="33"/>
      <c r="T497" s="33"/>
    </row>
    <row r="498" spans="2:20" ht="15.75" customHeight="1">
      <c r="B498" s="5"/>
      <c r="C498" s="5"/>
      <c r="D498" s="5"/>
      <c r="E498" s="5"/>
      <c r="F498" s="5"/>
      <c r="P498" s="33"/>
      <c r="Q498" s="33"/>
      <c r="R498" s="33"/>
      <c r="S498" s="33"/>
      <c r="T498" s="33"/>
    </row>
    <row r="499" spans="2:20" ht="15.75" customHeight="1">
      <c r="B499" s="5"/>
      <c r="C499" s="5"/>
      <c r="D499" s="5"/>
      <c r="E499" s="5"/>
      <c r="F499" s="5"/>
      <c r="P499" s="33"/>
      <c r="Q499" s="33"/>
      <c r="R499" s="33"/>
      <c r="S499" s="33"/>
      <c r="T499" s="33"/>
    </row>
    <row r="500" spans="2:20" ht="15.75" customHeight="1">
      <c r="B500" s="5"/>
      <c r="C500" s="5"/>
      <c r="D500" s="5"/>
      <c r="E500" s="5"/>
      <c r="F500" s="5"/>
      <c r="P500" s="33"/>
      <c r="Q500" s="33"/>
      <c r="R500" s="33"/>
      <c r="S500" s="33"/>
      <c r="T500" s="33"/>
    </row>
    <row r="501" spans="2:20" ht="15.75" customHeight="1">
      <c r="B501" s="5"/>
      <c r="C501" s="5"/>
      <c r="D501" s="5"/>
      <c r="E501" s="5"/>
      <c r="F501" s="5"/>
      <c r="P501" s="33"/>
      <c r="Q501" s="33"/>
      <c r="R501" s="33"/>
      <c r="S501" s="33"/>
      <c r="T501" s="33"/>
    </row>
    <row r="502" spans="2:20" ht="15.75" customHeight="1">
      <c r="B502" s="5"/>
      <c r="C502" s="5"/>
      <c r="D502" s="5"/>
      <c r="E502" s="5"/>
      <c r="F502" s="5"/>
      <c r="P502" s="33"/>
      <c r="Q502" s="33"/>
      <c r="R502" s="33"/>
      <c r="S502" s="33"/>
      <c r="T502" s="33"/>
    </row>
    <row r="503" spans="2:20" ht="15.75" customHeight="1">
      <c r="B503" s="5"/>
      <c r="C503" s="5"/>
      <c r="D503" s="5"/>
      <c r="E503" s="5"/>
      <c r="F503" s="5"/>
      <c r="P503" s="33"/>
      <c r="Q503" s="33"/>
      <c r="R503" s="33"/>
      <c r="S503" s="33"/>
      <c r="T503" s="33"/>
    </row>
    <row r="504" spans="2:20" ht="15.75" customHeight="1">
      <c r="B504" s="5"/>
      <c r="C504" s="5"/>
      <c r="D504" s="5"/>
      <c r="E504" s="5"/>
      <c r="F504" s="5"/>
      <c r="P504" s="33"/>
      <c r="Q504" s="33"/>
      <c r="R504" s="33"/>
      <c r="S504" s="33"/>
      <c r="T504" s="33"/>
    </row>
    <row r="505" spans="2:20" ht="15.75" customHeight="1">
      <c r="B505" s="5"/>
      <c r="C505" s="5"/>
      <c r="D505" s="5"/>
      <c r="E505" s="5"/>
      <c r="F505" s="5"/>
      <c r="P505" s="33"/>
      <c r="Q505" s="33"/>
      <c r="R505" s="33"/>
      <c r="S505" s="33"/>
      <c r="T505" s="33"/>
    </row>
    <row r="506" spans="2:20" ht="15.75" customHeight="1">
      <c r="B506" s="5"/>
      <c r="C506" s="5"/>
      <c r="D506" s="5"/>
      <c r="E506" s="5"/>
      <c r="F506" s="5"/>
      <c r="P506" s="33"/>
      <c r="Q506" s="33"/>
      <c r="R506" s="33"/>
      <c r="S506" s="33"/>
      <c r="T506" s="33"/>
    </row>
    <row r="507" spans="2:20" ht="15.75" customHeight="1">
      <c r="B507" s="5"/>
      <c r="C507" s="5"/>
      <c r="D507" s="5"/>
      <c r="E507" s="5"/>
      <c r="F507" s="5"/>
      <c r="P507" s="33"/>
      <c r="Q507" s="33"/>
      <c r="R507" s="33"/>
      <c r="S507" s="33"/>
      <c r="T507" s="33"/>
    </row>
    <row r="508" spans="2:20" ht="15.75" customHeight="1">
      <c r="B508" s="5"/>
      <c r="C508" s="5"/>
      <c r="D508" s="5"/>
      <c r="E508" s="5"/>
      <c r="F508" s="5"/>
      <c r="P508" s="33"/>
      <c r="Q508" s="33"/>
      <c r="R508" s="33"/>
      <c r="S508" s="33"/>
      <c r="T508" s="33"/>
    </row>
    <row r="509" spans="2:20" ht="15.75" customHeight="1">
      <c r="B509" s="5"/>
      <c r="C509" s="5"/>
      <c r="D509" s="5"/>
      <c r="E509" s="5"/>
      <c r="F509" s="5"/>
      <c r="P509" s="33"/>
      <c r="Q509" s="33"/>
      <c r="R509" s="33"/>
      <c r="S509" s="33"/>
      <c r="T509" s="33"/>
    </row>
    <row r="510" spans="2:20" ht="15.75" customHeight="1">
      <c r="B510" s="5"/>
      <c r="C510" s="5"/>
      <c r="D510" s="5"/>
      <c r="E510" s="5"/>
      <c r="F510" s="5"/>
      <c r="P510" s="33"/>
      <c r="Q510" s="33"/>
      <c r="R510" s="33"/>
      <c r="S510" s="33"/>
      <c r="T510" s="33"/>
    </row>
    <row r="511" spans="2:20" ht="15.75" customHeight="1">
      <c r="B511" s="5"/>
      <c r="C511" s="5"/>
      <c r="D511" s="5"/>
      <c r="E511" s="5"/>
      <c r="F511" s="5"/>
      <c r="P511" s="33"/>
      <c r="Q511" s="33"/>
      <c r="R511" s="33"/>
      <c r="S511" s="33"/>
      <c r="T511" s="33"/>
    </row>
    <row r="512" spans="2:20" ht="15.75" customHeight="1">
      <c r="B512" s="5"/>
      <c r="C512" s="5"/>
      <c r="D512" s="5"/>
      <c r="E512" s="5"/>
      <c r="F512" s="5"/>
      <c r="P512" s="33"/>
      <c r="Q512" s="33"/>
      <c r="R512" s="33"/>
      <c r="S512" s="33"/>
      <c r="T512" s="33"/>
    </row>
    <row r="513" spans="2:20" ht="15.75" customHeight="1">
      <c r="B513" s="5"/>
      <c r="C513" s="5"/>
      <c r="D513" s="5"/>
      <c r="E513" s="5"/>
      <c r="F513" s="5"/>
      <c r="P513" s="33"/>
      <c r="Q513" s="33"/>
      <c r="R513" s="33"/>
      <c r="S513" s="33"/>
      <c r="T513" s="33"/>
    </row>
    <row r="514" spans="2:20" ht="15.75" customHeight="1">
      <c r="B514" s="5"/>
      <c r="C514" s="5"/>
      <c r="D514" s="5"/>
      <c r="E514" s="5"/>
      <c r="F514" s="5"/>
      <c r="P514" s="33"/>
      <c r="Q514" s="33"/>
      <c r="R514" s="33"/>
      <c r="S514" s="33"/>
      <c r="T514" s="33"/>
    </row>
    <row r="515" spans="2:20" ht="15.75" customHeight="1">
      <c r="B515" s="5"/>
      <c r="C515" s="5"/>
      <c r="D515" s="5"/>
      <c r="E515" s="5"/>
      <c r="F515" s="5"/>
      <c r="P515" s="33"/>
      <c r="Q515" s="33"/>
      <c r="R515" s="33"/>
      <c r="S515" s="33"/>
      <c r="T515" s="33"/>
    </row>
    <row r="516" spans="2:20" ht="15.75" customHeight="1">
      <c r="B516" s="5"/>
      <c r="C516" s="5"/>
      <c r="D516" s="5"/>
      <c r="E516" s="5"/>
      <c r="F516" s="5"/>
      <c r="P516" s="33"/>
      <c r="Q516" s="33"/>
      <c r="R516" s="33"/>
      <c r="S516" s="33"/>
      <c r="T516" s="33"/>
    </row>
    <row r="517" spans="2:20" ht="15.75" customHeight="1">
      <c r="B517" s="5"/>
      <c r="C517" s="5"/>
      <c r="D517" s="5"/>
      <c r="E517" s="5"/>
      <c r="F517" s="5"/>
      <c r="P517" s="33"/>
      <c r="Q517" s="33"/>
      <c r="R517" s="33"/>
      <c r="S517" s="33"/>
      <c r="T517" s="33"/>
    </row>
    <row r="518" spans="2:20" ht="15.75" customHeight="1">
      <c r="B518" s="5"/>
      <c r="C518" s="5"/>
      <c r="D518" s="5"/>
      <c r="E518" s="5"/>
      <c r="F518" s="5"/>
      <c r="P518" s="33"/>
      <c r="Q518" s="33"/>
      <c r="R518" s="33"/>
      <c r="S518" s="33"/>
      <c r="T518" s="33"/>
    </row>
    <row r="519" spans="2:20" ht="15.75" customHeight="1">
      <c r="B519" s="5"/>
      <c r="C519" s="5"/>
      <c r="D519" s="5"/>
      <c r="E519" s="5"/>
      <c r="F519" s="5"/>
      <c r="P519" s="33"/>
      <c r="Q519" s="33"/>
      <c r="R519" s="33"/>
      <c r="S519" s="33"/>
      <c r="T519" s="33"/>
    </row>
    <row r="520" spans="2:20" ht="15.75" customHeight="1">
      <c r="B520" s="5"/>
      <c r="C520" s="5"/>
      <c r="D520" s="5"/>
      <c r="E520" s="5"/>
      <c r="F520" s="5"/>
      <c r="P520" s="33"/>
      <c r="Q520" s="33"/>
      <c r="R520" s="33"/>
      <c r="S520" s="33"/>
      <c r="T520" s="33"/>
    </row>
    <row r="521" spans="2:20" ht="15.75" customHeight="1">
      <c r="B521" s="5"/>
      <c r="C521" s="5"/>
      <c r="D521" s="5"/>
      <c r="E521" s="5"/>
      <c r="F521" s="5"/>
      <c r="P521" s="33"/>
      <c r="Q521" s="33"/>
      <c r="R521" s="33"/>
      <c r="S521" s="33"/>
      <c r="T521" s="33"/>
    </row>
    <row r="522" spans="2:20" ht="15.75" customHeight="1">
      <c r="B522" s="5"/>
      <c r="C522" s="5"/>
      <c r="D522" s="5"/>
      <c r="E522" s="5"/>
      <c r="F522" s="5"/>
      <c r="P522" s="33"/>
      <c r="Q522" s="33"/>
      <c r="R522" s="33"/>
      <c r="S522" s="33"/>
      <c r="T522" s="33"/>
    </row>
    <row r="523" spans="2:20" ht="15.75" customHeight="1">
      <c r="B523" s="5"/>
      <c r="C523" s="5"/>
      <c r="D523" s="5"/>
      <c r="E523" s="5"/>
      <c r="F523" s="5"/>
      <c r="P523" s="33"/>
      <c r="Q523" s="33"/>
      <c r="R523" s="33"/>
      <c r="S523" s="33"/>
      <c r="T523" s="33"/>
    </row>
    <row r="524" spans="2:20" ht="15.75" customHeight="1">
      <c r="B524" s="5"/>
      <c r="C524" s="5"/>
      <c r="D524" s="5"/>
      <c r="E524" s="5"/>
      <c r="F524" s="5"/>
      <c r="P524" s="33"/>
      <c r="Q524" s="33"/>
      <c r="R524" s="33"/>
      <c r="S524" s="33"/>
      <c r="T524" s="33"/>
    </row>
    <row r="525" spans="2:20" ht="15.75" customHeight="1">
      <c r="B525" s="5"/>
      <c r="C525" s="5"/>
      <c r="D525" s="5"/>
      <c r="E525" s="5"/>
      <c r="F525" s="5"/>
      <c r="P525" s="33"/>
      <c r="Q525" s="33"/>
      <c r="R525" s="33"/>
      <c r="S525" s="33"/>
      <c r="T525" s="33"/>
    </row>
    <row r="526" spans="2:20" ht="15.75" customHeight="1">
      <c r="B526" s="5"/>
      <c r="C526" s="5"/>
      <c r="D526" s="5"/>
      <c r="E526" s="5"/>
      <c r="F526" s="5"/>
      <c r="P526" s="33"/>
      <c r="Q526" s="33"/>
      <c r="R526" s="33"/>
      <c r="S526" s="33"/>
      <c r="T526" s="33"/>
    </row>
    <row r="527" spans="2:20" ht="15.75" customHeight="1">
      <c r="B527" s="5"/>
      <c r="C527" s="5"/>
      <c r="D527" s="5"/>
      <c r="E527" s="5"/>
      <c r="F527" s="5"/>
      <c r="P527" s="33"/>
      <c r="Q527" s="33"/>
      <c r="R527" s="33"/>
      <c r="S527" s="33"/>
      <c r="T527" s="33"/>
    </row>
    <row r="528" spans="2:20" ht="15.75" customHeight="1">
      <c r="B528" s="5"/>
      <c r="C528" s="5"/>
      <c r="D528" s="5"/>
      <c r="E528" s="5"/>
      <c r="F528" s="5"/>
      <c r="P528" s="33"/>
      <c r="Q528" s="33"/>
      <c r="R528" s="33"/>
      <c r="S528" s="33"/>
      <c r="T528" s="33"/>
    </row>
    <row r="529" spans="2:20" ht="15.75" customHeight="1">
      <c r="B529" s="5"/>
      <c r="C529" s="5"/>
      <c r="D529" s="5"/>
      <c r="E529" s="5"/>
      <c r="F529" s="5"/>
      <c r="P529" s="33"/>
      <c r="Q529" s="33"/>
      <c r="R529" s="33"/>
      <c r="S529" s="33"/>
      <c r="T529" s="33"/>
    </row>
    <row r="530" spans="2:20" ht="15.75" customHeight="1">
      <c r="B530" s="5"/>
      <c r="C530" s="5"/>
      <c r="D530" s="5"/>
      <c r="E530" s="5"/>
      <c r="F530" s="5"/>
      <c r="P530" s="33"/>
      <c r="Q530" s="33"/>
      <c r="R530" s="33"/>
      <c r="S530" s="33"/>
      <c r="T530" s="33"/>
    </row>
    <row r="531" spans="2:20" ht="15.75" customHeight="1">
      <c r="B531" s="5"/>
      <c r="C531" s="5"/>
      <c r="D531" s="5"/>
      <c r="E531" s="5"/>
      <c r="F531" s="5"/>
      <c r="P531" s="33"/>
      <c r="Q531" s="33"/>
      <c r="R531" s="33"/>
      <c r="S531" s="33"/>
      <c r="T531" s="33"/>
    </row>
    <row r="532" spans="2:20" ht="15.75" customHeight="1">
      <c r="B532" s="5"/>
      <c r="C532" s="5"/>
      <c r="D532" s="5"/>
      <c r="E532" s="5"/>
      <c r="F532" s="5"/>
      <c r="P532" s="33"/>
      <c r="Q532" s="33"/>
      <c r="R532" s="33"/>
      <c r="S532" s="33"/>
      <c r="T532" s="33"/>
    </row>
    <row r="533" spans="2:20" ht="15.75" customHeight="1">
      <c r="B533" s="5"/>
      <c r="C533" s="5"/>
      <c r="D533" s="5"/>
      <c r="E533" s="5"/>
      <c r="F533" s="5"/>
      <c r="P533" s="33"/>
      <c r="Q533" s="33"/>
      <c r="R533" s="33"/>
      <c r="S533" s="33"/>
      <c r="T533" s="33"/>
    </row>
    <row r="534" spans="2:20" ht="15.75" customHeight="1">
      <c r="B534" s="5"/>
      <c r="C534" s="5"/>
      <c r="D534" s="5"/>
      <c r="E534" s="5"/>
      <c r="F534" s="5"/>
      <c r="P534" s="33"/>
      <c r="Q534" s="33"/>
      <c r="R534" s="33"/>
      <c r="S534" s="33"/>
      <c r="T534" s="33"/>
    </row>
    <row r="535" spans="2:20" ht="15.75" customHeight="1">
      <c r="B535" s="5"/>
      <c r="C535" s="5"/>
      <c r="D535" s="5"/>
      <c r="E535" s="5"/>
      <c r="F535" s="5"/>
      <c r="P535" s="33"/>
      <c r="Q535" s="33"/>
      <c r="R535" s="33"/>
      <c r="S535" s="33"/>
      <c r="T535" s="33"/>
    </row>
    <row r="536" spans="2:20" ht="15.75" customHeight="1">
      <c r="B536" s="5"/>
      <c r="C536" s="5"/>
      <c r="D536" s="5"/>
      <c r="E536" s="5"/>
      <c r="F536" s="5"/>
      <c r="P536" s="33"/>
      <c r="Q536" s="33"/>
      <c r="R536" s="33"/>
      <c r="S536" s="33"/>
      <c r="T536" s="33"/>
    </row>
    <row r="537" spans="2:20" ht="15.75" customHeight="1">
      <c r="B537" s="5"/>
      <c r="C537" s="5"/>
      <c r="D537" s="5"/>
      <c r="E537" s="5"/>
      <c r="F537" s="5"/>
      <c r="P537" s="33"/>
      <c r="Q537" s="33"/>
      <c r="R537" s="33"/>
      <c r="S537" s="33"/>
      <c r="T537" s="33"/>
    </row>
    <row r="538" spans="2:20" ht="15.75" customHeight="1">
      <c r="B538" s="5"/>
      <c r="C538" s="5"/>
      <c r="D538" s="5"/>
      <c r="E538" s="5"/>
      <c r="F538" s="5"/>
      <c r="P538" s="33"/>
      <c r="Q538" s="33"/>
      <c r="R538" s="33"/>
      <c r="S538" s="33"/>
      <c r="T538" s="33"/>
    </row>
    <row r="539" spans="2:20" ht="15.75" customHeight="1">
      <c r="B539" s="5"/>
      <c r="C539" s="5"/>
      <c r="D539" s="5"/>
      <c r="E539" s="5"/>
      <c r="F539" s="5"/>
      <c r="P539" s="33"/>
      <c r="Q539" s="33"/>
      <c r="R539" s="33"/>
      <c r="S539" s="33"/>
      <c r="T539" s="33"/>
    </row>
    <row r="540" spans="2:20" ht="15.75" customHeight="1">
      <c r="B540" s="5"/>
      <c r="C540" s="5"/>
      <c r="D540" s="5"/>
      <c r="E540" s="5"/>
      <c r="F540" s="5"/>
      <c r="P540" s="33"/>
      <c r="Q540" s="33"/>
      <c r="R540" s="33"/>
      <c r="S540" s="33"/>
      <c r="T540" s="33"/>
    </row>
    <row r="541" spans="2:20" ht="15.75" customHeight="1">
      <c r="B541" s="5"/>
      <c r="C541" s="5"/>
      <c r="D541" s="5"/>
      <c r="E541" s="5"/>
      <c r="F541" s="5"/>
      <c r="P541" s="33"/>
      <c r="Q541" s="33"/>
      <c r="R541" s="33"/>
      <c r="S541" s="33"/>
      <c r="T541" s="33"/>
    </row>
    <row r="542" spans="2:20" ht="15.75" customHeight="1">
      <c r="B542" s="5"/>
      <c r="C542" s="5"/>
      <c r="D542" s="5"/>
      <c r="E542" s="5"/>
      <c r="F542" s="5"/>
      <c r="P542" s="33"/>
      <c r="Q542" s="33"/>
      <c r="R542" s="33"/>
      <c r="S542" s="33"/>
      <c r="T542" s="33"/>
    </row>
    <row r="543" spans="2:20" ht="15.75" customHeight="1">
      <c r="B543" s="5"/>
      <c r="C543" s="5"/>
      <c r="D543" s="5"/>
      <c r="E543" s="5"/>
      <c r="F543" s="5"/>
      <c r="P543" s="33"/>
      <c r="Q543" s="33"/>
      <c r="R543" s="33"/>
      <c r="S543" s="33"/>
      <c r="T543" s="33"/>
    </row>
    <row r="544" spans="2:20" ht="15.75" customHeight="1">
      <c r="B544" s="5"/>
      <c r="C544" s="5"/>
      <c r="D544" s="5"/>
      <c r="E544" s="5"/>
      <c r="F544" s="5"/>
      <c r="P544" s="33"/>
      <c r="Q544" s="33"/>
      <c r="R544" s="33"/>
      <c r="S544" s="33"/>
      <c r="T544" s="33"/>
    </row>
    <row r="545" spans="2:20" ht="15.75" customHeight="1">
      <c r="B545" s="5"/>
      <c r="C545" s="5"/>
      <c r="D545" s="5"/>
      <c r="E545" s="5"/>
      <c r="F545" s="5"/>
      <c r="P545" s="33"/>
      <c r="Q545" s="33"/>
      <c r="R545" s="33"/>
      <c r="S545" s="33"/>
      <c r="T545" s="33"/>
    </row>
    <row r="546" spans="2:20" ht="15.75" customHeight="1">
      <c r="B546" s="5"/>
      <c r="C546" s="5"/>
      <c r="D546" s="5"/>
      <c r="E546" s="5"/>
      <c r="F546" s="5"/>
      <c r="P546" s="33"/>
      <c r="Q546" s="33"/>
      <c r="R546" s="33"/>
      <c r="S546" s="33"/>
      <c r="T546" s="33"/>
    </row>
    <row r="547" spans="2:20" ht="15.75" customHeight="1">
      <c r="B547" s="5"/>
      <c r="C547" s="5"/>
      <c r="D547" s="5"/>
      <c r="E547" s="5"/>
      <c r="F547" s="5"/>
      <c r="P547" s="33"/>
      <c r="Q547" s="33"/>
      <c r="R547" s="33"/>
      <c r="S547" s="33"/>
      <c r="T547" s="33"/>
    </row>
    <row r="548" spans="2:20" ht="15.75" customHeight="1">
      <c r="B548" s="5"/>
      <c r="C548" s="5"/>
      <c r="D548" s="5"/>
      <c r="E548" s="5"/>
      <c r="F548" s="5"/>
      <c r="P548" s="33"/>
      <c r="Q548" s="33"/>
      <c r="R548" s="33"/>
      <c r="S548" s="33"/>
      <c r="T548" s="33"/>
    </row>
    <row r="549" spans="2:20" ht="15.75" customHeight="1">
      <c r="B549" s="5"/>
      <c r="C549" s="5"/>
      <c r="D549" s="5"/>
      <c r="E549" s="5"/>
      <c r="F549" s="5"/>
      <c r="P549" s="33"/>
      <c r="Q549" s="33"/>
      <c r="R549" s="33"/>
      <c r="S549" s="33"/>
      <c r="T549" s="33"/>
    </row>
    <row r="550" spans="2:20" ht="15.75" customHeight="1">
      <c r="B550" s="5"/>
      <c r="C550" s="5"/>
      <c r="D550" s="5"/>
      <c r="E550" s="5"/>
      <c r="F550" s="5"/>
      <c r="P550" s="33"/>
      <c r="Q550" s="33"/>
      <c r="R550" s="33"/>
      <c r="S550" s="33"/>
      <c r="T550" s="33"/>
    </row>
    <row r="551" spans="2:20" ht="15.75" customHeight="1">
      <c r="B551" s="5"/>
      <c r="C551" s="5"/>
      <c r="D551" s="5"/>
      <c r="E551" s="5"/>
      <c r="F551" s="5"/>
      <c r="P551" s="33"/>
      <c r="Q551" s="33"/>
      <c r="R551" s="33"/>
      <c r="S551" s="33"/>
      <c r="T551" s="33"/>
    </row>
    <row r="552" spans="2:20" ht="15.75" customHeight="1">
      <c r="B552" s="5"/>
      <c r="C552" s="5"/>
      <c r="D552" s="5"/>
      <c r="E552" s="5"/>
      <c r="F552" s="5"/>
      <c r="P552" s="33"/>
      <c r="Q552" s="33"/>
      <c r="R552" s="33"/>
      <c r="S552" s="33"/>
      <c r="T552" s="33"/>
    </row>
    <row r="553" spans="2:20" ht="15.75" customHeight="1">
      <c r="B553" s="5"/>
      <c r="C553" s="5"/>
      <c r="D553" s="5"/>
      <c r="E553" s="5"/>
      <c r="F553" s="5"/>
      <c r="P553" s="33"/>
      <c r="Q553" s="33"/>
      <c r="R553" s="33"/>
      <c r="S553" s="33"/>
      <c r="T553" s="33"/>
    </row>
    <row r="554" spans="2:20" ht="15.75" customHeight="1">
      <c r="B554" s="5"/>
      <c r="C554" s="5"/>
      <c r="D554" s="5"/>
      <c r="E554" s="5"/>
      <c r="F554" s="5"/>
      <c r="P554" s="33"/>
      <c r="Q554" s="33"/>
      <c r="R554" s="33"/>
      <c r="S554" s="33"/>
      <c r="T554" s="33"/>
    </row>
    <row r="555" spans="2:20" ht="15.75" customHeight="1">
      <c r="B555" s="5"/>
      <c r="C555" s="5"/>
      <c r="D555" s="5"/>
      <c r="E555" s="5"/>
      <c r="F555" s="5"/>
      <c r="P555" s="33"/>
      <c r="Q555" s="33"/>
      <c r="R555" s="33"/>
      <c r="S555" s="33"/>
      <c r="T555" s="33"/>
    </row>
    <row r="556" spans="2:20" ht="15.75" customHeight="1">
      <c r="B556" s="5"/>
      <c r="C556" s="5"/>
      <c r="D556" s="5"/>
      <c r="E556" s="5"/>
      <c r="F556" s="5"/>
      <c r="P556" s="33"/>
      <c r="Q556" s="33"/>
      <c r="R556" s="33"/>
      <c r="S556" s="33"/>
      <c r="T556" s="33"/>
    </row>
    <row r="557" spans="2:20" ht="15.75" customHeight="1">
      <c r="B557" s="5"/>
      <c r="C557" s="5"/>
      <c r="D557" s="5"/>
      <c r="E557" s="5"/>
      <c r="F557" s="5"/>
      <c r="P557" s="33"/>
      <c r="Q557" s="33"/>
      <c r="R557" s="33"/>
      <c r="S557" s="33"/>
      <c r="T557" s="33"/>
    </row>
    <row r="558" spans="2:20" ht="15.75" customHeight="1">
      <c r="B558" s="5"/>
      <c r="C558" s="5"/>
      <c r="D558" s="5"/>
      <c r="E558" s="5"/>
      <c r="F558" s="5"/>
      <c r="P558" s="33"/>
      <c r="Q558" s="33"/>
      <c r="R558" s="33"/>
      <c r="S558" s="33"/>
      <c r="T558" s="33"/>
    </row>
    <row r="559" spans="2:20" ht="15.75" customHeight="1">
      <c r="B559" s="5"/>
      <c r="C559" s="5"/>
      <c r="D559" s="5"/>
      <c r="E559" s="5"/>
      <c r="F559" s="5"/>
      <c r="P559" s="33"/>
      <c r="Q559" s="33"/>
      <c r="R559" s="33"/>
      <c r="S559" s="33"/>
      <c r="T559" s="33"/>
    </row>
    <row r="560" spans="2:20" ht="15.75" customHeight="1">
      <c r="B560" s="5"/>
      <c r="C560" s="5"/>
      <c r="D560" s="5"/>
      <c r="E560" s="5"/>
      <c r="F560" s="5"/>
      <c r="P560" s="33"/>
      <c r="Q560" s="33"/>
      <c r="R560" s="33"/>
      <c r="S560" s="33"/>
      <c r="T560" s="33"/>
    </row>
    <row r="561" spans="2:20" ht="15.75" customHeight="1">
      <c r="B561" s="5"/>
      <c r="C561" s="5"/>
      <c r="D561" s="5"/>
      <c r="E561" s="5"/>
      <c r="F561" s="5"/>
      <c r="P561" s="33"/>
      <c r="Q561" s="33"/>
      <c r="R561" s="33"/>
      <c r="S561" s="33"/>
      <c r="T561" s="33"/>
    </row>
    <row r="562" spans="2:20" ht="15.75" customHeight="1">
      <c r="B562" s="5"/>
      <c r="C562" s="5"/>
      <c r="D562" s="5"/>
      <c r="E562" s="5"/>
      <c r="F562" s="5"/>
      <c r="P562" s="33"/>
      <c r="Q562" s="33"/>
      <c r="R562" s="33"/>
      <c r="S562" s="33"/>
      <c r="T562" s="33"/>
    </row>
    <row r="563" spans="2:20" ht="15.75" customHeight="1">
      <c r="B563" s="5"/>
      <c r="C563" s="5"/>
      <c r="D563" s="5"/>
      <c r="E563" s="5"/>
      <c r="F563" s="5"/>
      <c r="P563" s="33"/>
      <c r="Q563" s="33"/>
      <c r="R563" s="33"/>
      <c r="S563" s="33"/>
      <c r="T563" s="33"/>
    </row>
    <row r="564" spans="2:20" ht="15.75" customHeight="1">
      <c r="B564" s="5"/>
      <c r="C564" s="5"/>
      <c r="D564" s="5"/>
      <c r="E564" s="5"/>
      <c r="F564" s="5"/>
      <c r="P564" s="33"/>
      <c r="Q564" s="33"/>
      <c r="R564" s="33"/>
      <c r="S564" s="33"/>
      <c r="T564" s="33"/>
    </row>
    <row r="565" spans="2:20" ht="15.75" customHeight="1">
      <c r="B565" s="5"/>
      <c r="C565" s="5"/>
      <c r="D565" s="5"/>
      <c r="E565" s="5"/>
      <c r="F565" s="5"/>
      <c r="P565" s="33"/>
      <c r="Q565" s="33"/>
      <c r="R565" s="33"/>
      <c r="S565" s="33"/>
      <c r="T565" s="33"/>
    </row>
    <row r="566" spans="2:20" ht="15.75" customHeight="1">
      <c r="B566" s="5"/>
      <c r="C566" s="5"/>
      <c r="D566" s="5"/>
      <c r="E566" s="5"/>
      <c r="F566" s="5"/>
      <c r="P566" s="33"/>
      <c r="Q566" s="33"/>
      <c r="R566" s="33"/>
      <c r="S566" s="33"/>
      <c r="T566" s="33"/>
    </row>
    <row r="567" spans="2:20" ht="15.75" customHeight="1">
      <c r="B567" s="5"/>
      <c r="C567" s="5"/>
      <c r="D567" s="5"/>
      <c r="E567" s="5"/>
      <c r="F567" s="5"/>
      <c r="P567" s="33"/>
      <c r="Q567" s="33"/>
      <c r="R567" s="33"/>
      <c r="S567" s="33"/>
      <c r="T567" s="33"/>
    </row>
    <row r="568" spans="2:20" ht="15.75" customHeight="1">
      <c r="B568" s="5"/>
      <c r="C568" s="5"/>
      <c r="D568" s="5"/>
      <c r="E568" s="5"/>
      <c r="F568" s="5"/>
      <c r="P568" s="33"/>
      <c r="Q568" s="33"/>
      <c r="R568" s="33"/>
      <c r="S568" s="33"/>
      <c r="T568" s="33"/>
    </row>
    <row r="569" spans="2:20" ht="15.75" customHeight="1">
      <c r="B569" s="5"/>
      <c r="C569" s="5"/>
      <c r="D569" s="5"/>
      <c r="E569" s="5"/>
      <c r="F569" s="5"/>
      <c r="P569" s="33"/>
      <c r="Q569" s="33"/>
      <c r="R569" s="33"/>
      <c r="S569" s="33"/>
      <c r="T569" s="33"/>
    </row>
    <row r="570" spans="2:20" ht="15.75" customHeight="1">
      <c r="B570" s="5"/>
      <c r="C570" s="5"/>
      <c r="D570" s="5"/>
      <c r="E570" s="5"/>
      <c r="F570" s="5"/>
      <c r="P570" s="33"/>
      <c r="Q570" s="33"/>
      <c r="R570" s="33"/>
      <c r="S570" s="33"/>
      <c r="T570" s="33"/>
    </row>
    <row r="571" spans="2:20" ht="15.75" customHeight="1">
      <c r="B571" s="5"/>
      <c r="C571" s="5"/>
      <c r="D571" s="5"/>
      <c r="E571" s="5"/>
      <c r="F571" s="5"/>
      <c r="P571" s="33"/>
      <c r="Q571" s="33"/>
      <c r="R571" s="33"/>
      <c r="S571" s="33"/>
      <c r="T571" s="33"/>
    </row>
    <row r="572" spans="2:20" ht="15.75" customHeight="1">
      <c r="B572" s="5"/>
      <c r="C572" s="5"/>
      <c r="D572" s="5"/>
      <c r="E572" s="5"/>
      <c r="F572" s="5"/>
      <c r="P572" s="33"/>
      <c r="Q572" s="33"/>
      <c r="R572" s="33"/>
      <c r="S572" s="33"/>
      <c r="T572" s="33"/>
    </row>
    <row r="573" spans="2:20" ht="15.75" customHeight="1">
      <c r="B573" s="5"/>
      <c r="C573" s="5"/>
      <c r="D573" s="5"/>
      <c r="E573" s="5"/>
      <c r="F573" s="5"/>
      <c r="P573" s="33"/>
      <c r="Q573" s="33"/>
      <c r="R573" s="33"/>
      <c r="S573" s="33"/>
      <c r="T573" s="33"/>
    </row>
    <row r="574" spans="2:20" ht="15.75" customHeight="1">
      <c r="B574" s="5"/>
      <c r="C574" s="5"/>
      <c r="D574" s="5"/>
      <c r="E574" s="5"/>
      <c r="F574" s="5"/>
      <c r="P574" s="33"/>
      <c r="Q574" s="33"/>
      <c r="R574" s="33"/>
      <c r="S574" s="33"/>
      <c r="T574" s="33"/>
    </row>
    <row r="575" spans="2:20" ht="15.75" customHeight="1">
      <c r="B575" s="5"/>
      <c r="C575" s="5"/>
      <c r="D575" s="5"/>
      <c r="E575" s="5"/>
      <c r="F575" s="5"/>
      <c r="P575" s="33"/>
      <c r="Q575" s="33"/>
      <c r="R575" s="33"/>
      <c r="S575" s="33"/>
      <c r="T575" s="33"/>
    </row>
    <row r="576" spans="2:20" ht="15.75" customHeight="1">
      <c r="B576" s="5"/>
      <c r="C576" s="5"/>
      <c r="D576" s="5"/>
      <c r="E576" s="5"/>
      <c r="F576" s="5"/>
      <c r="P576" s="33"/>
      <c r="Q576" s="33"/>
      <c r="R576" s="33"/>
      <c r="S576" s="33"/>
      <c r="T576" s="33"/>
    </row>
    <row r="577" spans="2:20" ht="15.75" customHeight="1">
      <c r="B577" s="5"/>
      <c r="C577" s="5"/>
      <c r="D577" s="5"/>
      <c r="E577" s="5"/>
      <c r="F577" s="5"/>
      <c r="P577" s="33"/>
      <c r="Q577" s="33"/>
      <c r="R577" s="33"/>
      <c r="S577" s="33"/>
      <c r="T577" s="33"/>
    </row>
    <row r="578" spans="2:20" ht="15.75" customHeight="1">
      <c r="B578" s="5"/>
      <c r="C578" s="5"/>
      <c r="D578" s="5"/>
      <c r="E578" s="5"/>
      <c r="F578" s="5"/>
      <c r="P578" s="33"/>
      <c r="Q578" s="33"/>
      <c r="R578" s="33"/>
      <c r="S578" s="33"/>
      <c r="T578" s="33"/>
    </row>
    <row r="579" spans="2:20" ht="15.75" customHeight="1">
      <c r="B579" s="5"/>
      <c r="C579" s="5"/>
      <c r="D579" s="5"/>
      <c r="E579" s="5"/>
      <c r="F579" s="5"/>
      <c r="P579" s="33"/>
      <c r="Q579" s="33"/>
      <c r="R579" s="33"/>
      <c r="S579" s="33"/>
      <c r="T579" s="33"/>
    </row>
    <row r="580" spans="2:20" ht="15.75" customHeight="1">
      <c r="B580" s="5"/>
      <c r="C580" s="5"/>
      <c r="D580" s="5"/>
      <c r="E580" s="5"/>
      <c r="F580" s="5"/>
      <c r="P580" s="33"/>
      <c r="Q580" s="33"/>
      <c r="R580" s="33"/>
      <c r="S580" s="33"/>
      <c r="T580" s="33"/>
    </row>
    <row r="581" spans="2:20" ht="15.75" customHeight="1">
      <c r="B581" s="5"/>
      <c r="C581" s="5"/>
      <c r="D581" s="5"/>
      <c r="E581" s="5"/>
      <c r="F581" s="5"/>
      <c r="P581" s="33"/>
      <c r="Q581" s="33"/>
      <c r="R581" s="33"/>
      <c r="S581" s="33"/>
      <c r="T581" s="33"/>
    </row>
    <row r="582" spans="2:20" ht="15.75" customHeight="1">
      <c r="B582" s="5"/>
      <c r="C582" s="5"/>
      <c r="D582" s="5"/>
      <c r="E582" s="5"/>
      <c r="F582" s="5"/>
      <c r="P582" s="33"/>
      <c r="Q582" s="33"/>
      <c r="R582" s="33"/>
      <c r="S582" s="33"/>
      <c r="T582" s="33"/>
    </row>
    <row r="583" spans="2:20" ht="15.75" customHeight="1">
      <c r="B583" s="5"/>
      <c r="C583" s="5"/>
      <c r="D583" s="5"/>
      <c r="E583" s="5"/>
      <c r="F583" s="5"/>
      <c r="P583" s="33"/>
      <c r="Q583" s="33"/>
      <c r="R583" s="33"/>
      <c r="S583" s="33"/>
      <c r="T583" s="33"/>
    </row>
    <row r="584" spans="2:20" ht="15.75" customHeight="1">
      <c r="B584" s="5"/>
      <c r="C584" s="5"/>
      <c r="D584" s="5"/>
      <c r="E584" s="5"/>
      <c r="F584" s="5"/>
      <c r="P584" s="33"/>
      <c r="Q584" s="33"/>
      <c r="R584" s="33"/>
      <c r="S584" s="33"/>
      <c r="T584" s="33"/>
    </row>
    <row r="585" spans="2:20" ht="15.75" customHeight="1">
      <c r="B585" s="5"/>
      <c r="C585" s="5"/>
      <c r="D585" s="5"/>
      <c r="E585" s="5"/>
      <c r="F585" s="5"/>
      <c r="P585" s="33"/>
      <c r="Q585" s="33"/>
      <c r="R585" s="33"/>
      <c r="S585" s="33"/>
      <c r="T585" s="33"/>
    </row>
    <row r="586" spans="2:20" ht="15.75" customHeight="1">
      <c r="B586" s="5"/>
      <c r="C586" s="5"/>
      <c r="D586" s="5"/>
      <c r="E586" s="5"/>
      <c r="F586" s="5"/>
      <c r="P586" s="33"/>
      <c r="Q586" s="33"/>
      <c r="R586" s="33"/>
      <c r="S586" s="33"/>
      <c r="T586" s="33"/>
    </row>
    <row r="587" spans="2:20" ht="15.75" customHeight="1">
      <c r="B587" s="5"/>
      <c r="C587" s="5"/>
      <c r="D587" s="5"/>
      <c r="E587" s="5"/>
      <c r="F587" s="5"/>
      <c r="P587" s="33"/>
      <c r="Q587" s="33"/>
      <c r="R587" s="33"/>
      <c r="S587" s="33"/>
      <c r="T587" s="33"/>
    </row>
    <row r="588" spans="2:20" ht="15.75" customHeight="1">
      <c r="B588" s="5"/>
      <c r="C588" s="5"/>
      <c r="D588" s="5"/>
      <c r="E588" s="5"/>
      <c r="F588" s="5"/>
      <c r="P588" s="33"/>
      <c r="Q588" s="33"/>
      <c r="R588" s="33"/>
      <c r="S588" s="33"/>
      <c r="T588" s="33"/>
    </row>
    <row r="589" spans="2:20" ht="15.75" customHeight="1">
      <c r="B589" s="5"/>
      <c r="C589" s="5"/>
      <c r="D589" s="5"/>
      <c r="E589" s="5"/>
      <c r="F589" s="5"/>
      <c r="P589" s="33"/>
      <c r="Q589" s="33"/>
      <c r="R589" s="33"/>
      <c r="S589" s="33"/>
      <c r="T589" s="33"/>
    </row>
    <row r="590" spans="2:20" ht="15.75" customHeight="1">
      <c r="B590" s="5"/>
      <c r="C590" s="5"/>
      <c r="D590" s="5"/>
      <c r="E590" s="5"/>
      <c r="F590" s="5"/>
      <c r="P590" s="33"/>
      <c r="Q590" s="33"/>
      <c r="R590" s="33"/>
      <c r="S590" s="33"/>
      <c r="T590" s="33"/>
    </row>
    <row r="591" spans="2:20" ht="15.75" customHeight="1">
      <c r="B591" s="5"/>
      <c r="C591" s="5"/>
      <c r="D591" s="5"/>
      <c r="E591" s="5"/>
      <c r="F591" s="5"/>
      <c r="P591" s="33"/>
      <c r="Q591" s="33"/>
      <c r="R591" s="33"/>
      <c r="S591" s="33"/>
      <c r="T591" s="33"/>
    </row>
    <row r="592" spans="2:20" ht="15.75" customHeight="1">
      <c r="B592" s="5"/>
      <c r="C592" s="5"/>
      <c r="D592" s="5"/>
      <c r="E592" s="5"/>
      <c r="F592" s="5"/>
      <c r="P592" s="33"/>
      <c r="Q592" s="33"/>
      <c r="R592" s="33"/>
      <c r="S592" s="33"/>
      <c r="T592" s="33"/>
    </row>
    <row r="593" spans="2:20" ht="15.75" customHeight="1">
      <c r="B593" s="5"/>
      <c r="C593" s="5"/>
      <c r="D593" s="5"/>
      <c r="E593" s="5"/>
      <c r="F593" s="5"/>
      <c r="P593" s="33"/>
      <c r="Q593" s="33"/>
      <c r="R593" s="33"/>
      <c r="S593" s="33"/>
      <c r="T593" s="33"/>
    </row>
    <row r="594" spans="2:20" ht="15.75" customHeight="1">
      <c r="B594" s="5"/>
      <c r="C594" s="5"/>
      <c r="D594" s="5"/>
      <c r="E594" s="5"/>
      <c r="F594" s="5"/>
      <c r="P594" s="33"/>
      <c r="Q594" s="33"/>
      <c r="R594" s="33"/>
      <c r="S594" s="33"/>
      <c r="T594" s="33"/>
    </row>
    <row r="595" spans="2:20" ht="15.75" customHeight="1">
      <c r="B595" s="5"/>
      <c r="C595" s="5"/>
      <c r="D595" s="5"/>
      <c r="E595" s="5"/>
      <c r="F595" s="5"/>
      <c r="P595" s="33"/>
      <c r="Q595" s="33"/>
      <c r="R595" s="33"/>
      <c r="S595" s="33"/>
      <c r="T595" s="33"/>
    </row>
    <row r="596" spans="2:20" ht="15.75" customHeight="1">
      <c r="B596" s="5"/>
      <c r="C596" s="5"/>
      <c r="D596" s="5"/>
      <c r="E596" s="5"/>
      <c r="F596" s="5"/>
      <c r="P596" s="33"/>
      <c r="Q596" s="33"/>
      <c r="R596" s="33"/>
      <c r="S596" s="33"/>
      <c r="T596" s="33"/>
    </row>
    <row r="597" spans="2:20" ht="15.75" customHeight="1">
      <c r="B597" s="5"/>
      <c r="C597" s="5"/>
      <c r="D597" s="5"/>
      <c r="E597" s="5"/>
      <c r="F597" s="5"/>
      <c r="P597" s="33"/>
      <c r="Q597" s="33"/>
      <c r="R597" s="33"/>
      <c r="S597" s="33"/>
      <c r="T597" s="33"/>
    </row>
    <row r="598" spans="2:20" ht="15.75" customHeight="1">
      <c r="B598" s="5"/>
      <c r="C598" s="5"/>
      <c r="D598" s="5"/>
      <c r="E598" s="5"/>
      <c r="F598" s="5"/>
      <c r="P598" s="33"/>
      <c r="Q598" s="33"/>
      <c r="R598" s="33"/>
      <c r="S598" s="33"/>
      <c r="T598" s="33"/>
    </row>
    <row r="599" spans="2:20" ht="15.75" customHeight="1">
      <c r="B599" s="5"/>
      <c r="C599" s="5"/>
      <c r="D599" s="5"/>
      <c r="E599" s="5"/>
      <c r="F599" s="5"/>
      <c r="P599" s="33"/>
      <c r="Q599" s="33"/>
      <c r="R599" s="33"/>
      <c r="S599" s="33"/>
      <c r="T599" s="33"/>
    </row>
    <row r="600" spans="2:20" ht="15.75" customHeight="1">
      <c r="B600" s="5"/>
      <c r="C600" s="5"/>
      <c r="D600" s="5"/>
      <c r="E600" s="5"/>
      <c r="F600" s="5"/>
      <c r="P600" s="33"/>
      <c r="Q600" s="33"/>
      <c r="R600" s="33"/>
      <c r="S600" s="33"/>
      <c r="T600" s="33"/>
    </row>
    <row r="601" spans="2:20" ht="15.75" customHeight="1">
      <c r="B601" s="5"/>
      <c r="C601" s="5"/>
      <c r="D601" s="5"/>
      <c r="E601" s="5"/>
      <c r="F601" s="5"/>
      <c r="P601" s="33"/>
      <c r="Q601" s="33"/>
      <c r="R601" s="33"/>
      <c r="S601" s="33"/>
      <c r="T601" s="33"/>
    </row>
    <row r="602" spans="2:20" ht="15.75" customHeight="1">
      <c r="B602" s="5"/>
      <c r="C602" s="5"/>
      <c r="D602" s="5"/>
      <c r="E602" s="5"/>
      <c r="F602" s="5"/>
      <c r="P602" s="33"/>
      <c r="Q602" s="33"/>
      <c r="R602" s="33"/>
      <c r="S602" s="33"/>
      <c r="T602" s="33"/>
    </row>
    <row r="603" spans="2:20" ht="15.75" customHeight="1">
      <c r="B603" s="5"/>
      <c r="C603" s="5"/>
      <c r="D603" s="5"/>
      <c r="E603" s="5"/>
      <c r="F603" s="5"/>
      <c r="P603" s="33"/>
      <c r="Q603" s="33"/>
      <c r="R603" s="33"/>
      <c r="S603" s="33"/>
      <c r="T603" s="33"/>
    </row>
    <row r="604" spans="2:20" ht="15.75" customHeight="1">
      <c r="B604" s="5"/>
      <c r="C604" s="5"/>
      <c r="D604" s="5"/>
      <c r="E604" s="5"/>
      <c r="F604" s="5"/>
      <c r="P604" s="33"/>
      <c r="Q604" s="33"/>
      <c r="R604" s="33"/>
      <c r="S604" s="33"/>
      <c r="T604" s="33"/>
    </row>
    <row r="605" spans="2:20" ht="15.75" customHeight="1">
      <c r="B605" s="5"/>
      <c r="C605" s="5"/>
      <c r="D605" s="5"/>
      <c r="E605" s="5"/>
      <c r="F605" s="5"/>
      <c r="P605" s="33"/>
      <c r="Q605" s="33"/>
      <c r="R605" s="33"/>
      <c r="S605" s="33"/>
      <c r="T605" s="33"/>
    </row>
    <row r="606" spans="2:20" ht="15.75" customHeight="1">
      <c r="B606" s="5"/>
      <c r="C606" s="5"/>
      <c r="D606" s="5"/>
      <c r="E606" s="5"/>
      <c r="F606" s="5"/>
      <c r="P606" s="33"/>
      <c r="Q606" s="33"/>
      <c r="R606" s="33"/>
      <c r="S606" s="33"/>
      <c r="T606" s="33"/>
    </row>
    <row r="607" spans="2:20" ht="15.75" customHeight="1">
      <c r="B607" s="5"/>
      <c r="C607" s="5"/>
      <c r="D607" s="5"/>
      <c r="E607" s="5"/>
      <c r="F607" s="5"/>
      <c r="P607" s="33"/>
      <c r="Q607" s="33"/>
      <c r="R607" s="33"/>
      <c r="S607" s="33"/>
      <c r="T607" s="33"/>
    </row>
    <row r="608" spans="2:20" ht="15.75" customHeight="1">
      <c r="B608" s="5"/>
      <c r="C608" s="5"/>
      <c r="D608" s="5"/>
      <c r="E608" s="5"/>
      <c r="F608" s="5"/>
      <c r="P608" s="33"/>
      <c r="Q608" s="33"/>
      <c r="R608" s="33"/>
      <c r="S608" s="33"/>
      <c r="T608" s="33"/>
    </row>
    <row r="609" spans="2:20" ht="15.75" customHeight="1">
      <c r="B609" s="5"/>
      <c r="C609" s="5"/>
      <c r="D609" s="5"/>
      <c r="E609" s="5"/>
      <c r="F609" s="5"/>
      <c r="P609" s="33"/>
      <c r="Q609" s="33"/>
      <c r="R609" s="33"/>
      <c r="S609" s="33"/>
      <c r="T609" s="33"/>
    </row>
    <row r="610" spans="2:20" ht="15.75" customHeight="1">
      <c r="B610" s="5"/>
      <c r="C610" s="5"/>
      <c r="D610" s="5"/>
      <c r="E610" s="5"/>
      <c r="F610" s="5"/>
      <c r="P610" s="33"/>
      <c r="Q610" s="33"/>
      <c r="R610" s="33"/>
      <c r="S610" s="33"/>
      <c r="T610" s="33"/>
    </row>
    <row r="611" spans="2:20" ht="15.75" customHeight="1">
      <c r="B611" s="5"/>
      <c r="C611" s="5"/>
      <c r="D611" s="5"/>
      <c r="E611" s="5"/>
      <c r="F611" s="5"/>
      <c r="P611" s="33"/>
      <c r="Q611" s="33"/>
      <c r="R611" s="33"/>
      <c r="S611" s="33"/>
      <c r="T611" s="33"/>
    </row>
    <row r="612" spans="2:20" ht="15.75" customHeight="1">
      <c r="B612" s="5"/>
      <c r="C612" s="5"/>
      <c r="D612" s="5"/>
      <c r="E612" s="5"/>
      <c r="F612" s="5"/>
      <c r="P612" s="33"/>
      <c r="Q612" s="33"/>
      <c r="R612" s="33"/>
      <c r="S612" s="33"/>
      <c r="T612" s="33"/>
    </row>
    <row r="613" spans="2:20" ht="15.75" customHeight="1">
      <c r="B613" s="5"/>
      <c r="C613" s="5"/>
      <c r="D613" s="5"/>
      <c r="E613" s="5"/>
      <c r="F613" s="5"/>
      <c r="P613" s="33"/>
      <c r="Q613" s="33"/>
      <c r="R613" s="33"/>
      <c r="S613" s="33"/>
      <c r="T613" s="33"/>
    </row>
    <row r="614" spans="2:20" ht="15.75" customHeight="1">
      <c r="B614" s="5"/>
      <c r="C614" s="5"/>
      <c r="D614" s="5"/>
      <c r="E614" s="5"/>
      <c r="F614" s="5"/>
      <c r="P614" s="33"/>
      <c r="Q614" s="33"/>
      <c r="R614" s="33"/>
      <c r="S614" s="33"/>
      <c r="T614" s="33"/>
    </row>
    <row r="615" spans="2:20" ht="15.75" customHeight="1">
      <c r="B615" s="5"/>
      <c r="C615" s="5"/>
      <c r="D615" s="5"/>
      <c r="E615" s="5"/>
      <c r="F615" s="5"/>
      <c r="P615" s="33"/>
      <c r="Q615" s="33"/>
      <c r="R615" s="33"/>
      <c r="S615" s="33"/>
      <c r="T615" s="33"/>
    </row>
    <row r="616" spans="2:20" ht="15.75" customHeight="1">
      <c r="B616" s="5"/>
      <c r="C616" s="5"/>
      <c r="D616" s="5"/>
      <c r="E616" s="5"/>
      <c r="F616" s="5"/>
      <c r="P616" s="33"/>
      <c r="Q616" s="33"/>
      <c r="R616" s="33"/>
      <c r="S616" s="33"/>
      <c r="T616" s="33"/>
    </row>
    <row r="617" spans="2:20" ht="15.75" customHeight="1">
      <c r="B617" s="5"/>
      <c r="C617" s="5"/>
      <c r="D617" s="5"/>
      <c r="E617" s="5"/>
      <c r="F617" s="5"/>
      <c r="P617" s="33"/>
      <c r="Q617" s="33"/>
      <c r="R617" s="33"/>
      <c r="S617" s="33"/>
      <c r="T617" s="33"/>
    </row>
    <row r="618" spans="2:20" ht="15.75" customHeight="1">
      <c r="B618" s="5"/>
      <c r="C618" s="5"/>
      <c r="D618" s="5"/>
      <c r="E618" s="5"/>
      <c r="F618" s="5"/>
      <c r="P618" s="33"/>
      <c r="Q618" s="33"/>
      <c r="R618" s="33"/>
      <c r="S618" s="33"/>
      <c r="T618" s="33"/>
    </row>
    <row r="619" spans="2:20" ht="15.75" customHeight="1">
      <c r="B619" s="5"/>
      <c r="C619" s="5"/>
      <c r="D619" s="5"/>
      <c r="E619" s="5"/>
      <c r="F619" s="5"/>
      <c r="P619" s="33"/>
      <c r="Q619" s="33"/>
      <c r="R619" s="33"/>
      <c r="S619" s="33"/>
      <c r="T619" s="33"/>
    </row>
    <row r="620" spans="2:20" ht="15.75" customHeight="1">
      <c r="B620" s="5"/>
      <c r="C620" s="5"/>
      <c r="D620" s="5"/>
      <c r="E620" s="5"/>
      <c r="F620" s="5"/>
      <c r="P620" s="33"/>
      <c r="Q620" s="33"/>
      <c r="R620" s="33"/>
      <c r="S620" s="33"/>
      <c r="T620" s="33"/>
    </row>
    <row r="621" spans="2:20" ht="15.75" customHeight="1">
      <c r="B621" s="5"/>
      <c r="C621" s="5"/>
      <c r="D621" s="5"/>
      <c r="E621" s="5"/>
      <c r="F621" s="5"/>
      <c r="P621" s="33"/>
      <c r="Q621" s="33"/>
      <c r="R621" s="33"/>
      <c r="S621" s="33"/>
      <c r="T621" s="33"/>
    </row>
    <row r="622" spans="2:20" ht="15.75" customHeight="1">
      <c r="B622" s="5"/>
      <c r="C622" s="5"/>
      <c r="D622" s="5"/>
      <c r="E622" s="5"/>
      <c r="F622" s="5"/>
      <c r="P622" s="33"/>
      <c r="Q622" s="33"/>
      <c r="R622" s="33"/>
      <c r="S622" s="33"/>
      <c r="T622" s="33"/>
    </row>
    <row r="623" spans="2:20" ht="15.75" customHeight="1">
      <c r="B623" s="5"/>
      <c r="C623" s="5"/>
      <c r="D623" s="5"/>
      <c r="E623" s="5"/>
      <c r="F623" s="5"/>
      <c r="P623" s="33"/>
      <c r="Q623" s="33"/>
      <c r="R623" s="33"/>
      <c r="S623" s="33"/>
      <c r="T623" s="33"/>
    </row>
    <row r="624" spans="2:20" ht="15.75" customHeight="1">
      <c r="B624" s="5"/>
      <c r="C624" s="5"/>
      <c r="D624" s="5"/>
      <c r="E624" s="5"/>
      <c r="F624" s="5"/>
      <c r="P624" s="33"/>
      <c r="Q624" s="33"/>
      <c r="R624" s="33"/>
      <c r="S624" s="33"/>
      <c r="T624" s="33"/>
    </row>
    <row r="625" spans="2:20" ht="15.75" customHeight="1">
      <c r="B625" s="5"/>
      <c r="C625" s="5"/>
      <c r="D625" s="5"/>
      <c r="E625" s="5"/>
      <c r="F625" s="5"/>
      <c r="P625" s="33"/>
      <c r="Q625" s="33"/>
      <c r="R625" s="33"/>
      <c r="S625" s="33"/>
      <c r="T625" s="33"/>
    </row>
    <row r="626" spans="2:20" ht="15.75" customHeight="1">
      <c r="B626" s="5"/>
      <c r="C626" s="5"/>
      <c r="D626" s="5"/>
      <c r="E626" s="5"/>
      <c r="F626" s="5"/>
      <c r="P626" s="33"/>
      <c r="Q626" s="33"/>
      <c r="R626" s="33"/>
      <c r="S626" s="33"/>
      <c r="T626" s="33"/>
    </row>
    <row r="627" spans="2:20" ht="15.75" customHeight="1">
      <c r="B627" s="5"/>
      <c r="C627" s="5"/>
      <c r="D627" s="5"/>
      <c r="E627" s="5"/>
      <c r="F627" s="5"/>
      <c r="P627" s="33"/>
      <c r="Q627" s="33"/>
      <c r="R627" s="33"/>
      <c r="S627" s="33"/>
      <c r="T627" s="33"/>
    </row>
    <row r="628" spans="2:20" ht="15.75" customHeight="1">
      <c r="B628" s="5"/>
      <c r="C628" s="5"/>
      <c r="D628" s="5"/>
      <c r="E628" s="5"/>
      <c r="F628" s="5"/>
      <c r="P628" s="33"/>
      <c r="Q628" s="33"/>
      <c r="R628" s="33"/>
      <c r="S628" s="33"/>
      <c r="T628" s="33"/>
    </row>
    <row r="629" spans="2:20" ht="15.75" customHeight="1">
      <c r="B629" s="5"/>
      <c r="C629" s="5"/>
      <c r="D629" s="5"/>
      <c r="E629" s="5"/>
      <c r="F629" s="5"/>
      <c r="P629" s="33"/>
      <c r="Q629" s="33"/>
      <c r="R629" s="33"/>
      <c r="S629" s="33"/>
      <c r="T629" s="33"/>
    </row>
    <row r="630" spans="2:20" ht="15.75" customHeight="1">
      <c r="B630" s="5"/>
      <c r="C630" s="5"/>
      <c r="D630" s="5"/>
      <c r="E630" s="5"/>
      <c r="F630" s="5"/>
      <c r="P630" s="33"/>
      <c r="Q630" s="33"/>
      <c r="R630" s="33"/>
      <c r="S630" s="33"/>
      <c r="T630" s="33"/>
    </row>
    <row r="631" spans="2:20" ht="15.75" customHeight="1">
      <c r="B631" s="5"/>
      <c r="C631" s="5"/>
      <c r="D631" s="5"/>
      <c r="E631" s="5"/>
      <c r="F631" s="5"/>
      <c r="P631" s="33"/>
      <c r="Q631" s="33"/>
      <c r="R631" s="33"/>
      <c r="S631" s="33"/>
      <c r="T631" s="33"/>
    </row>
    <row r="632" spans="2:20" ht="15.75" customHeight="1">
      <c r="B632" s="5"/>
      <c r="C632" s="5"/>
      <c r="D632" s="5"/>
      <c r="E632" s="5"/>
      <c r="F632" s="5"/>
      <c r="P632" s="33"/>
      <c r="Q632" s="33"/>
      <c r="R632" s="33"/>
      <c r="S632" s="33"/>
      <c r="T632" s="33"/>
    </row>
    <row r="633" spans="2:20" ht="15.75" customHeight="1">
      <c r="B633" s="5"/>
      <c r="C633" s="5"/>
      <c r="D633" s="5"/>
      <c r="E633" s="5"/>
      <c r="F633" s="5"/>
      <c r="P633" s="33"/>
      <c r="Q633" s="33"/>
      <c r="R633" s="33"/>
      <c r="S633" s="33"/>
      <c r="T633" s="33"/>
    </row>
    <row r="634" spans="2:20" ht="15.75" customHeight="1">
      <c r="B634" s="5"/>
      <c r="C634" s="5"/>
      <c r="D634" s="5"/>
      <c r="E634" s="5"/>
      <c r="F634" s="5"/>
      <c r="P634" s="33"/>
      <c r="Q634" s="33"/>
      <c r="R634" s="33"/>
      <c r="S634" s="33"/>
      <c r="T634" s="33"/>
    </row>
    <row r="635" spans="2:20" ht="15.75" customHeight="1">
      <c r="B635" s="5"/>
      <c r="C635" s="5"/>
      <c r="D635" s="5"/>
      <c r="E635" s="5"/>
      <c r="F635" s="5"/>
      <c r="P635" s="33"/>
      <c r="Q635" s="33"/>
      <c r="R635" s="33"/>
      <c r="S635" s="33"/>
      <c r="T635" s="33"/>
    </row>
    <row r="636" spans="2:20" ht="15.75" customHeight="1">
      <c r="B636" s="5"/>
      <c r="C636" s="5"/>
      <c r="D636" s="5"/>
      <c r="E636" s="5"/>
      <c r="F636" s="5"/>
      <c r="P636" s="33"/>
      <c r="Q636" s="33"/>
      <c r="R636" s="33"/>
      <c r="S636" s="33"/>
      <c r="T636" s="33"/>
    </row>
    <row r="637" spans="2:20" ht="15.75" customHeight="1">
      <c r="B637" s="5"/>
      <c r="C637" s="5"/>
      <c r="D637" s="5"/>
      <c r="E637" s="5"/>
      <c r="F637" s="5"/>
      <c r="P637" s="33"/>
      <c r="Q637" s="33"/>
      <c r="R637" s="33"/>
      <c r="S637" s="33"/>
      <c r="T637" s="33"/>
    </row>
    <row r="638" spans="2:20" ht="15.75" customHeight="1">
      <c r="B638" s="5"/>
      <c r="C638" s="5"/>
      <c r="D638" s="5"/>
      <c r="E638" s="5"/>
      <c r="F638" s="5"/>
      <c r="P638" s="33"/>
      <c r="Q638" s="33"/>
      <c r="R638" s="33"/>
      <c r="S638" s="33"/>
      <c r="T638" s="33"/>
    </row>
    <row r="639" spans="2:20" ht="15.75" customHeight="1">
      <c r="B639" s="5"/>
      <c r="C639" s="5"/>
      <c r="D639" s="5"/>
      <c r="E639" s="5"/>
      <c r="F639" s="5"/>
      <c r="P639" s="33"/>
      <c r="Q639" s="33"/>
      <c r="R639" s="33"/>
      <c r="S639" s="33"/>
      <c r="T639" s="33"/>
    </row>
    <row r="640" spans="2:20" ht="15.75" customHeight="1">
      <c r="B640" s="5"/>
      <c r="C640" s="5"/>
      <c r="D640" s="5"/>
      <c r="E640" s="5"/>
      <c r="F640" s="5"/>
      <c r="P640" s="33"/>
      <c r="Q640" s="33"/>
      <c r="R640" s="33"/>
      <c r="S640" s="33"/>
      <c r="T640" s="33"/>
    </row>
    <row r="641" spans="2:20" ht="15.75" customHeight="1">
      <c r="B641" s="5"/>
      <c r="C641" s="5"/>
      <c r="D641" s="5"/>
      <c r="E641" s="5"/>
      <c r="F641" s="5"/>
      <c r="P641" s="33"/>
      <c r="Q641" s="33"/>
      <c r="R641" s="33"/>
      <c r="S641" s="33"/>
      <c r="T641" s="33"/>
    </row>
    <row r="642" spans="2:20" ht="15.75" customHeight="1">
      <c r="B642" s="5"/>
      <c r="C642" s="5"/>
      <c r="D642" s="5"/>
      <c r="E642" s="5"/>
      <c r="F642" s="5"/>
      <c r="P642" s="33"/>
      <c r="Q642" s="33"/>
      <c r="R642" s="33"/>
      <c r="S642" s="33"/>
      <c r="T642" s="33"/>
    </row>
    <row r="643" spans="2:20" ht="15.75" customHeight="1">
      <c r="B643" s="5"/>
      <c r="C643" s="5"/>
      <c r="D643" s="5"/>
      <c r="E643" s="5"/>
      <c r="F643" s="5"/>
      <c r="P643" s="33"/>
      <c r="Q643" s="33"/>
      <c r="R643" s="33"/>
      <c r="S643" s="33"/>
      <c r="T643" s="33"/>
    </row>
    <row r="644" spans="2:20" ht="15.75" customHeight="1">
      <c r="B644" s="5"/>
      <c r="C644" s="5"/>
      <c r="D644" s="5"/>
      <c r="E644" s="5"/>
      <c r="F644" s="5"/>
      <c r="P644" s="33"/>
      <c r="Q644" s="33"/>
      <c r="R644" s="33"/>
      <c r="S644" s="33"/>
      <c r="T644" s="33"/>
    </row>
    <row r="645" spans="2:20" ht="15.75" customHeight="1">
      <c r="B645" s="5"/>
      <c r="C645" s="5"/>
      <c r="D645" s="5"/>
      <c r="E645" s="5"/>
      <c r="F645" s="5"/>
      <c r="P645" s="33"/>
      <c r="Q645" s="33"/>
      <c r="R645" s="33"/>
      <c r="S645" s="33"/>
      <c r="T645" s="33"/>
    </row>
    <row r="646" spans="2:20" ht="15.75" customHeight="1">
      <c r="B646" s="5"/>
      <c r="C646" s="5"/>
      <c r="D646" s="5"/>
      <c r="E646" s="5"/>
      <c r="F646" s="5"/>
      <c r="P646" s="33"/>
      <c r="Q646" s="33"/>
      <c r="R646" s="33"/>
      <c r="S646" s="33"/>
      <c r="T646" s="33"/>
    </row>
    <row r="647" spans="2:20" ht="15.75" customHeight="1">
      <c r="B647" s="5"/>
      <c r="C647" s="5"/>
      <c r="D647" s="5"/>
      <c r="E647" s="5"/>
      <c r="F647" s="5"/>
      <c r="P647" s="33"/>
      <c r="Q647" s="33"/>
      <c r="R647" s="33"/>
      <c r="S647" s="33"/>
      <c r="T647" s="33"/>
    </row>
    <row r="648" spans="2:20" ht="15.75" customHeight="1">
      <c r="B648" s="5"/>
      <c r="C648" s="5"/>
      <c r="D648" s="5"/>
      <c r="E648" s="5"/>
      <c r="F648" s="5"/>
      <c r="P648" s="33"/>
      <c r="Q648" s="33"/>
      <c r="R648" s="33"/>
      <c r="S648" s="33"/>
      <c r="T648" s="33"/>
    </row>
    <row r="649" spans="2:20" ht="15.75" customHeight="1">
      <c r="B649" s="5"/>
      <c r="C649" s="5"/>
      <c r="D649" s="5"/>
      <c r="E649" s="5"/>
      <c r="F649" s="5"/>
      <c r="P649" s="33"/>
      <c r="Q649" s="33"/>
      <c r="R649" s="33"/>
      <c r="S649" s="33"/>
      <c r="T649" s="33"/>
    </row>
    <row r="650" spans="2:20" ht="15.75" customHeight="1">
      <c r="B650" s="5"/>
      <c r="C650" s="5"/>
      <c r="D650" s="5"/>
      <c r="E650" s="5"/>
      <c r="F650" s="5"/>
      <c r="P650" s="33"/>
      <c r="Q650" s="33"/>
      <c r="R650" s="33"/>
      <c r="S650" s="33"/>
      <c r="T650" s="33"/>
    </row>
    <row r="651" spans="2:20" ht="15.75" customHeight="1">
      <c r="B651" s="5"/>
      <c r="C651" s="5"/>
      <c r="D651" s="5"/>
      <c r="E651" s="5"/>
      <c r="F651" s="5"/>
      <c r="P651" s="33"/>
      <c r="Q651" s="33"/>
      <c r="R651" s="33"/>
      <c r="S651" s="33"/>
      <c r="T651" s="33"/>
    </row>
    <row r="652" spans="2:20" ht="15.75" customHeight="1">
      <c r="B652" s="5"/>
      <c r="C652" s="5"/>
      <c r="D652" s="5"/>
      <c r="E652" s="5"/>
      <c r="F652" s="5"/>
      <c r="P652" s="33"/>
      <c r="Q652" s="33"/>
      <c r="R652" s="33"/>
      <c r="S652" s="33"/>
      <c r="T652" s="33"/>
    </row>
    <row r="653" spans="2:20" ht="15.75" customHeight="1">
      <c r="B653" s="5"/>
      <c r="C653" s="5"/>
      <c r="D653" s="5"/>
      <c r="E653" s="5"/>
      <c r="F653" s="5"/>
      <c r="P653" s="33"/>
      <c r="Q653" s="33"/>
      <c r="R653" s="33"/>
      <c r="S653" s="33"/>
      <c r="T653" s="33"/>
    </row>
    <row r="654" spans="2:20" ht="15.75" customHeight="1">
      <c r="B654" s="5"/>
      <c r="C654" s="5"/>
      <c r="D654" s="5"/>
      <c r="E654" s="5"/>
      <c r="F654" s="5"/>
      <c r="P654" s="33"/>
      <c r="Q654" s="33"/>
      <c r="R654" s="33"/>
      <c r="S654" s="33"/>
      <c r="T654" s="33"/>
    </row>
    <row r="655" spans="2:20" ht="15.75" customHeight="1">
      <c r="B655" s="5"/>
      <c r="C655" s="5"/>
      <c r="D655" s="5"/>
      <c r="E655" s="5"/>
      <c r="F655" s="5"/>
      <c r="P655" s="33"/>
      <c r="Q655" s="33"/>
      <c r="R655" s="33"/>
      <c r="S655" s="33"/>
      <c r="T655" s="33"/>
    </row>
    <row r="656" spans="2:20" ht="15.75" customHeight="1">
      <c r="B656" s="5"/>
      <c r="C656" s="5"/>
      <c r="D656" s="5"/>
      <c r="E656" s="5"/>
      <c r="F656" s="5"/>
      <c r="P656" s="33"/>
      <c r="Q656" s="33"/>
      <c r="R656" s="33"/>
      <c r="S656" s="33"/>
      <c r="T656" s="33"/>
    </row>
    <row r="657" spans="2:20" ht="15.75" customHeight="1">
      <c r="B657" s="5"/>
      <c r="C657" s="5"/>
      <c r="D657" s="5"/>
      <c r="E657" s="5"/>
      <c r="F657" s="5"/>
      <c r="P657" s="33"/>
      <c r="Q657" s="33"/>
      <c r="R657" s="33"/>
      <c r="S657" s="33"/>
      <c r="T657" s="33"/>
    </row>
    <row r="658" spans="2:20" ht="15.75" customHeight="1">
      <c r="B658" s="5"/>
      <c r="C658" s="5"/>
      <c r="D658" s="5"/>
      <c r="E658" s="5"/>
      <c r="F658" s="5"/>
      <c r="P658" s="33"/>
      <c r="Q658" s="33"/>
      <c r="R658" s="33"/>
      <c r="S658" s="33"/>
      <c r="T658" s="33"/>
    </row>
    <row r="659" spans="2:20" ht="15.75" customHeight="1">
      <c r="B659" s="5"/>
      <c r="C659" s="5"/>
      <c r="D659" s="5"/>
      <c r="E659" s="5"/>
      <c r="F659" s="5"/>
      <c r="P659" s="33"/>
      <c r="Q659" s="33"/>
      <c r="R659" s="33"/>
      <c r="S659" s="33"/>
      <c r="T659" s="33"/>
    </row>
    <row r="660" spans="2:20" ht="15.75" customHeight="1">
      <c r="B660" s="5"/>
      <c r="C660" s="5"/>
      <c r="D660" s="5"/>
      <c r="E660" s="5"/>
      <c r="F660" s="5"/>
      <c r="P660" s="33"/>
      <c r="Q660" s="33"/>
      <c r="R660" s="33"/>
      <c r="S660" s="33"/>
      <c r="T660" s="33"/>
    </row>
    <row r="661" spans="2:20" ht="15.75" customHeight="1">
      <c r="B661" s="5"/>
      <c r="C661" s="5"/>
      <c r="D661" s="5"/>
      <c r="E661" s="5"/>
      <c r="F661" s="5"/>
      <c r="P661" s="33"/>
      <c r="Q661" s="33"/>
      <c r="R661" s="33"/>
      <c r="S661" s="33"/>
      <c r="T661" s="33"/>
    </row>
    <row r="662" spans="2:20" ht="15.75" customHeight="1">
      <c r="B662" s="5"/>
      <c r="C662" s="5"/>
      <c r="D662" s="5"/>
      <c r="E662" s="5"/>
      <c r="F662" s="5"/>
      <c r="P662" s="33"/>
      <c r="Q662" s="33"/>
      <c r="R662" s="33"/>
      <c r="S662" s="33"/>
      <c r="T662" s="33"/>
    </row>
    <row r="663" spans="2:20" ht="15.75" customHeight="1">
      <c r="B663" s="5"/>
      <c r="C663" s="5"/>
      <c r="D663" s="5"/>
      <c r="E663" s="5"/>
      <c r="F663" s="5"/>
      <c r="P663" s="33"/>
      <c r="Q663" s="33"/>
      <c r="R663" s="33"/>
      <c r="S663" s="33"/>
      <c r="T663" s="33"/>
    </row>
    <row r="664" spans="2:20" ht="15.75" customHeight="1">
      <c r="B664" s="5"/>
      <c r="C664" s="5"/>
      <c r="D664" s="5"/>
      <c r="E664" s="5"/>
      <c r="F664" s="5"/>
      <c r="P664" s="33"/>
      <c r="Q664" s="33"/>
      <c r="R664" s="33"/>
      <c r="S664" s="33"/>
      <c r="T664" s="33"/>
    </row>
    <row r="665" spans="2:20" ht="15.75" customHeight="1">
      <c r="B665" s="5"/>
      <c r="C665" s="5"/>
      <c r="D665" s="5"/>
      <c r="E665" s="5"/>
      <c r="F665" s="5"/>
      <c r="P665" s="33"/>
      <c r="Q665" s="33"/>
      <c r="R665" s="33"/>
      <c r="S665" s="33"/>
      <c r="T665" s="33"/>
    </row>
    <row r="666" spans="2:20" ht="15.75" customHeight="1">
      <c r="B666" s="5"/>
      <c r="C666" s="5"/>
      <c r="D666" s="5"/>
      <c r="E666" s="5"/>
      <c r="F666" s="5"/>
      <c r="P666" s="33"/>
      <c r="Q666" s="33"/>
      <c r="R666" s="33"/>
      <c r="S666" s="33"/>
      <c r="T666" s="33"/>
    </row>
    <row r="667" spans="2:20" ht="15.75" customHeight="1">
      <c r="B667" s="5"/>
      <c r="C667" s="5"/>
      <c r="D667" s="5"/>
      <c r="E667" s="5"/>
      <c r="F667" s="5"/>
      <c r="P667" s="33"/>
      <c r="Q667" s="33"/>
      <c r="R667" s="33"/>
      <c r="S667" s="33"/>
      <c r="T667" s="33"/>
    </row>
    <row r="668" spans="2:20" ht="15.75" customHeight="1">
      <c r="B668" s="5"/>
      <c r="C668" s="5"/>
      <c r="D668" s="5"/>
      <c r="E668" s="5"/>
      <c r="F668" s="5"/>
      <c r="P668" s="33"/>
      <c r="Q668" s="33"/>
      <c r="R668" s="33"/>
      <c r="S668" s="33"/>
      <c r="T668" s="33"/>
    </row>
    <row r="669" spans="2:20" ht="15.75" customHeight="1">
      <c r="B669" s="5"/>
      <c r="C669" s="5"/>
      <c r="D669" s="5"/>
      <c r="E669" s="5"/>
      <c r="F669" s="5"/>
      <c r="P669" s="33"/>
      <c r="Q669" s="33"/>
      <c r="R669" s="33"/>
      <c r="S669" s="33"/>
      <c r="T669" s="33"/>
    </row>
    <row r="670" spans="2:20" ht="15.75" customHeight="1">
      <c r="B670" s="5"/>
      <c r="C670" s="5"/>
      <c r="D670" s="5"/>
      <c r="E670" s="5"/>
      <c r="F670" s="5"/>
      <c r="P670" s="33"/>
      <c r="Q670" s="33"/>
      <c r="R670" s="33"/>
      <c r="S670" s="33"/>
      <c r="T670" s="33"/>
    </row>
    <row r="671" spans="2:20" ht="15.75" customHeight="1">
      <c r="B671" s="5"/>
      <c r="C671" s="5"/>
      <c r="D671" s="5"/>
      <c r="E671" s="5"/>
      <c r="F671" s="5"/>
      <c r="P671" s="33"/>
      <c r="Q671" s="33"/>
      <c r="R671" s="33"/>
      <c r="S671" s="33"/>
      <c r="T671" s="33"/>
    </row>
    <row r="672" spans="2:20" ht="15.75" customHeight="1">
      <c r="B672" s="5"/>
      <c r="C672" s="5"/>
      <c r="D672" s="5"/>
      <c r="E672" s="5"/>
      <c r="F672" s="5"/>
      <c r="P672" s="33"/>
      <c r="Q672" s="33"/>
      <c r="R672" s="33"/>
      <c r="S672" s="33"/>
      <c r="T672" s="33"/>
    </row>
    <row r="673" spans="2:20" ht="15.75" customHeight="1">
      <c r="B673" s="5"/>
      <c r="C673" s="5"/>
      <c r="D673" s="5"/>
      <c r="E673" s="5"/>
      <c r="F673" s="5"/>
      <c r="P673" s="33"/>
      <c r="Q673" s="33"/>
      <c r="R673" s="33"/>
      <c r="S673" s="33"/>
      <c r="T673" s="33"/>
    </row>
    <row r="674" spans="2:20" ht="15.75" customHeight="1">
      <c r="B674" s="5"/>
      <c r="C674" s="5"/>
      <c r="D674" s="5"/>
      <c r="E674" s="5"/>
      <c r="F674" s="5"/>
      <c r="P674" s="33"/>
      <c r="Q674" s="33"/>
      <c r="R674" s="33"/>
      <c r="S674" s="33"/>
      <c r="T674" s="33"/>
    </row>
    <row r="675" spans="2:20" ht="15.75" customHeight="1">
      <c r="B675" s="5"/>
      <c r="C675" s="5"/>
      <c r="D675" s="5"/>
      <c r="E675" s="5"/>
      <c r="F675" s="5"/>
      <c r="P675" s="33"/>
      <c r="Q675" s="33"/>
      <c r="R675" s="33"/>
      <c r="S675" s="33"/>
      <c r="T675" s="33"/>
    </row>
    <row r="676" spans="2:20" ht="15.75" customHeight="1">
      <c r="B676" s="5"/>
      <c r="C676" s="5"/>
      <c r="D676" s="5"/>
      <c r="E676" s="5"/>
      <c r="F676" s="5"/>
      <c r="P676" s="33"/>
      <c r="Q676" s="33"/>
      <c r="R676" s="33"/>
      <c r="S676" s="33"/>
      <c r="T676" s="33"/>
    </row>
    <row r="677" spans="2:20" ht="15.75" customHeight="1">
      <c r="B677" s="5"/>
      <c r="C677" s="5"/>
      <c r="D677" s="5"/>
      <c r="E677" s="5"/>
      <c r="F677" s="5"/>
      <c r="P677" s="33"/>
      <c r="Q677" s="33"/>
      <c r="R677" s="33"/>
      <c r="S677" s="33"/>
      <c r="T677" s="33"/>
    </row>
    <row r="678" spans="2:20" ht="15.75" customHeight="1">
      <c r="B678" s="5"/>
      <c r="C678" s="5"/>
      <c r="D678" s="5"/>
      <c r="E678" s="5"/>
      <c r="F678" s="5"/>
      <c r="P678" s="33"/>
      <c r="Q678" s="33"/>
      <c r="R678" s="33"/>
      <c r="S678" s="33"/>
      <c r="T678" s="33"/>
    </row>
    <row r="679" spans="2:20" ht="15.75" customHeight="1">
      <c r="B679" s="5"/>
      <c r="C679" s="5"/>
      <c r="D679" s="5"/>
      <c r="E679" s="5"/>
      <c r="F679" s="5"/>
      <c r="P679" s="33"/>
      <c r="Q679" s="33"/>
      <c r="R679" s="33"/>
      <c r="S679" s="33"/>
      <c r="T679" s="33"/>
    </row>
    <row r="680" spans="2:20" ht="15.75" customHeight="1">
      <c r="B680" s="5"/>
      <c r="C680" s="5"/>
      <c r="D680" s="5"/>
      <c r="E680" s="5"/>
      <c r="F680" s="5"/>
      <c r="P680" s="33"/>
      <c r="Q680" s="33"/>
      <c r="R680" s="33"/>
      <c r="S680" s="33"/>
      <c r="T680" s="33"/>
    </row>
    <row r="681" spans="2:20" ht="15.75" customHeight="1">
      <c r="B681" s="5"/>
      <c r="C681" s="5"/>
      <c r="D681" s="5"/>
      <c r="E681" s="5"/>
      <c r="F681" s="5"/>
      <c r="P681" s="33"/>
      <c r="Q681" s="33"/>
      <c r="R681" s="33"/>
      <c r="S681" s="33"/>
      <c r="T681" s="33"/>
    </row>
    <row r="682" spans="2:20" ht="15.75" customHeight="1">
      <c r="B682" s="5"/>
      <c r="C682" s="5"/>
      <c r="D682" s="5"/>
      <c r="E682" s="5"/>
      <c r="F682" s="5"/>
      <c r="P682" s="33"/>
      <c r="Q682" s="33"/>
      <c r="R682" s="33"/>
      <c r="S682" s="33"/>
      <c r="T682" s="33"/>
    </row>
    <row r="683" spans="2:20" ht="15.75" customHeight="1">
      <c r="B683" s="5"/>
      <c r="C683" s="5"/>
      <c r="D683" s="5"/>
      <c r="E683" s="5"/>
      <c r="F683" s="5"/>
      <c r="P683" s="33"/>
      <c r="Q683" s="33"/>
      <c r="R683" s="33"/>
      <c r="S683" s="33"/>
      <c r="T683" s="33"/>
    </row>
    <row r="684" spans="2:20" ht="15.75" customHeight="1">
      <c r="B684" s="5"/>
      <c r="C684" s="5"/>
      <c r="D684" s="5"/>
      <c r="E684" s="5"/>
      <c r="F684" s="5"/>
      <c r="P684" s="33"/>
      <c r="Q684" s="33"/>
      <c r="R684" s="33"/>
      <c r="S684" s="33"/>
      <c r="T684" s="33"/>
    </row>
    <row r="685" spans="2:20" ht="15.75" customHeight="1">
      <c r="B685" s="5"/>
      <c r="C685" s="5"/>
      <c r="D685" s="5"/>
      <c r="E685" s="5"/>
      <c r="F685" s="5"/>
      <c r="P685" s="33"/>
      <c r="Q685" s="33"/>
      <c r="R685" s="33"/>
      <c r="S685" s="33"/>
      <c r="T685" s="33"/>
    </row>
    <row r="686" spans="2:20" ht="15.75" customHeight="1">
      <c r="B686" s="5"/>
      <c r="C686" s="5"/>
      <c r="D686" s="5"/>
      <c r="E686" s="5"/>
      <c r="F686" s="5"/>
      <c r="P686" s="33"/>
      <c r="Q686" s="33"/>
      <c r="R686" s="33"/>
      <c r="S686" s="33"/>
      <c r="T686" s="33"/>
    </row>
    <row r="687" spans="2:20" ht="15.75" customHeight="1">
      <c r="B687" s="5"/>
      <c r="C687" s="5"/>
      <c r="D687" s="5"/>
      <c r="E687" s="5"/>
      <c r="F687" s="5"/>
      <c r="P687" s="33"/>
      <c r="Q687" s="33"/>
      <c r="R687" s="33"/>
      <c r="S687" s="33"/>
      <c r="T687" s="33"/>
    </row>
    <row r="688" spans="2:20" ht="15.75" customHeight="1">
      <c r="B688" s="5"/>
      <c r="C688" s="5"/>
      <c r="D688" s="5"/>
      <c r="E688" s="5"/>
      <c r="F688" s="5"/>
      <c r="P688" s="33"/>
      <c r="Q688" s="33"/>
      <c r="R688" s="33"/>
      <c r="S688" s="33"/>
      <c r="T688" s="33"/>
    </row>
    <row r="689" spans="2:20" ht="15.75" customHeight="1">
      <c r="B689" s="5"/>
      <c r="C689" s="5"/>
      <c r="D689" s="5"/>
      <c r="E689" s="5"/>
      <c r="F689" s="5"/>
      <c r="P689" s="33"/>
      <c r="Q689" s="33"/>
      <c r="R689" s="33"/>
      <c r="S689" s="33"/>
      <c r="T689" s="33"/>
    </row>
    <row r="690" spans="2:20" ht="15.75" customHeight="1">
      <c r="B690" s="5"/>
      <c r="C690" s="5"/>
      <c r="D690" s="5"/>
      <c r="E690" s="5"/>
      <c r="F690" s="5"/>
      <c r="P690" s="33"/>
      <c r="Q690" s="33"/>
      <c r="R690" s="33"/>
      <c r="S690" s="33"/>
      <c r="T690" s="33"/>
    </row>
    <row r="691" spans="2:20" ht="15.75" customHeight="1">
      <c r="B691" s="5"/>
      <c r="C691" s="5"/>
      <c r="D691" s="5"/>
      <c r="E691" s="5"/>
      <c r="F691" s="5"/>
      <c r="P691" s="33"/>
      <c r="Q691" s="33"/>
      <c r="R691" s="33"/>
      <c r="S691" s="33"/>
      <c r="T691" s="33"/>
    </row>
    <row r="692" spans="2:20" ht="15.75" customHeight="1">
      <c r="B692" s="5"/>
      <c r="C692" s="5"/>
      <c r="D692" s="5"/>
      <c r="E692" s="5"/>
      <c r="F692" s="5"/>
      <c r="P692" s="33"/>
      <c r="Q692" s="33"/>
      <c r="R692" s="33"/>
      <c r="S692" s="33"/>
      <c r="T692" s="33"/>
    </row>
    <row r="693" spans="2:20" ht="15.75" customHeight="1">
      <c r="B693" s="5"/>
      <c r="C693" s="5"/>
      <c r="D693" s="5"/>
      <c r="E693" s="5"/>
      <c r="F693" s="5"/>
      <c r="P693" s="33"/>
      <c r="Q693" s="33"/>
      <c r="R693" s="33"/>
      <c r="S693" s="33"/>
      <c r="T693" s="33"/>
    </row>
    <row r="694" spans="2:20" ht="15.75" customHeight="1">
      <c r="B694" s="5"/>
      <c r="C694" s="5"/>
      <c r="D694" s="5"/>
      <c r="E694" s="5"/>
      <c r="F694" s="5"/>
      <c r="P694" s="33"/>
      <c r="Q694" s="33"/>
      <c r="R694" s="33"/>
      <c r="S694" s="33"/>
      <c r="T694" s="33"/>
    </row>
    <row r="695" spans="2:20" ht="15.75" customHeight="1">
      <c r="B695" s="5"/>
      <c r="C695" s="5"/>
      <c r="D695" s="5"/>
      <c r="E695" s="5"/>
      <c r="F695" s="5"/>
      <c r="P695" s="33"/>
      <c r="Q695" s="33"/>
      <c r="R695" s="33"/>
      <c r="S695" s="33"/>
      <c r="T695" s="33"/>
    </row>
    <row r="696" spans="2:20" ht="15.75" customHeight="1">
      <c r="B696" s="5"/>
      <c r="C696" s="5"/>
      <c r="D696" s="5"/>
      <c r="E696" s="5"/>
      <c r="F696" s="5"/>
      <c r="P696" s="33"/>
      <c r="Q696" s="33"/>
      <c r="R696" s="33"/>
      <c r="S696" s="33"/>
      <c r="T696" s="33"/>
    </row>
    <row r="697" spans="2:20" ht="15.75" customHeight="1">
      <c r="B697" s="5"/>
      <c r="C697" s="5"/>
      <c r="D697" s="5"/>
      <c r="E697" s="5"/>
      <c r="F697" s="5"/>
      <c r="P697" s="33"/>
      <c r="Q697" s="33"/>
      <c r="R697" s="33"/>
      <c r="S697" s="33"/>
      <c r="T697" s="33"/>
    </row>
    <row r="698" spans="2:20" ht="15.75" customHeight="1">
      <c r="B698" s="5"/>
      <c r="C698" s="5"/>
      <c r="D698" s="5"/>
      <c r="E698" s="5"/>
      <c r="F698" s="5"/>
      <c r="P698" s="33"/>
      <c r="Q698" s="33"/>
      <c r="R698" s="33"/>
      <c r="S698" s="33"/>
      <c r="T698" s="33"/>
    </row>
    <row r="699" spans="2:20" ht="15.75" customHeight="1">
      <c r="B699" s="5"/>
      <c r="C699" s="5"/>
      <c r="D699" s="5"/>
      <c r="E699" s="5"/>
      <c r="F699" s="5"/>
      <c r="P699" s="33"/>
      <c r="Q699" s="33"/>
      <c r="R699" s="33"/>
      <c r="S699" s="33"/>
      <c r="T699" s="33"/>
    </row>
    <row r="700" spans="2:20" ht="15.75" customHeight="1">
      <c r="B700" s="5"/>
      <c r="C700" s="5"/>
      <c r="D700" s="5"/>
      <c r="E700" s="5"/>
      <c r="F700" s="5"/>
      <c r="P700" s="33"/>
      <c r="Q700" s="33"/>
      <c r="R700" s="33"/>
      <c r="S700" s="33"/>
      <c r="T700" s="33"/>
    </row>
    <row r="701" spans="2:20" ht="15.75" customHeight="1">
      <c r="B701" s="5"/>
      <c r="C701" s="5"/>
      <c r="D701" s="5"/>
      <c r="E701" s="5"/>
      <c r="F701" s="5"/>
      <c r="P701" s="33"/>
      <c r="Q701" s="33"/>
      <c r="R701" s="33"/>
      <c r="S701" s="33"/>
      <c r="T701" s="33"/>
    </row>
    <row r="702" spans="2:20" ht="15.75" customHeight="1">
      <c r="B702" s="5"/>
      <c r="C702" s="5"/>
      <c r="D702" s="5"/>
      <c r="E702" s="5"/>
      <c r="F702" s="5"/>
      <c r="P702" s="33"/>
      <c r="Q702" s="33"/>
      <c r="R702" s="33"/>
      <c r="S702" s="33"/>
      <c r="T702" s="33"/>
    </row>
    <row r="703" spans="2:20" ht="15.75" customHeight="1">
      <c r="B703" s="5"/>
      <c r="C703" s="5"/>
      <c r="D703" s="5"/>
      <c r="E703" s="5"/>
      <c r="F703" s="5"/>
      <c r="P703" s="33"/>
      <c r="Q703" s="33"/>
      <c r="R703" s="33"/>
      <c r="S703" s="33"/>
      <c r="T703" s="33"/>
    </row>
    <row r="704" spans="2:20" ht="15.75" customHeight="1">
      <c r="B704" s="5"/>
      <c r="C704" s="5"/>
      <c r="D704" s="5"/>
      <c r="E704" s="5"/>
      <c r="F704" s="5"/>
      <c r="P704" s="33"/>
      <c r="Q704" s="33"/>
      <c r="R704" s="33"/>
      <c r="S704" s="33"/>
      <c r="T704" s="33"/>
    </row>
    <row r="705" spans="2:20" ht="15.75" customHeight="1">
      <c r="B705" s="5"/>
      <c r="C705" s="5"/>
      <c r="D705" s="5"/>
      <c r="E705" s="5"/>
      <c r="F705" s="5"/>
      <c r="P705" s="33"/>
      <c r="Q705" s="33"/>
      <c r="R705" s="33"/>
      <c r="S705" s="33"/>
      <c r="T705" s="33"/>
    </row>
    <row r="706" spans="2:20" ht="15.75" customHeight="1">
      <c r="B706" s="5"/>
      <c r="C706" s="5"/>
      <c r="D706" s="5"/>
      <c r="E706" s="5"/>
      <c r="F706" s="5"/>
      <c r="P706" s="33"/>
      <c r="Q706" s="33"/>
      <c r="R706" s="33"/>
      <c r="S706" s="33"/>
      <c r="T706" s="33"/>
    </row>
    <row r="707" spans="2:20" ht="15.75" customHeight="1">
      <c r="B707" s="5"/>
      <c r="C707" s="5"/>
      <c r="D707" s="5"/>
      <c r="E707" s="5"/>
      <c r="F707" s="5"/>
      <c r="P707" s="33"/>
      <c r="Q707" s="33"/>
      <c r="R707" s="33"/>
      <c r="S707" s="33"/>
      <c r="T707" s="33"/>
    </row>
    <row r="708" spans="2:20" ht="15.75" customHeight="1">
      <c r="B708" s="5"/>
      <c r="C708" s="5"/>
      <c r="D708" s="5"/>
      <c r="E708" s="5"/>
      <c r="F708" s="5"/>
      <c r="P708" s="33"/>
      <c r="Q708" s="33"/>
      <c r="R708" s="33"/>
      <c r="S708" s="33"/>
      <c r="T708" s="33"/>
    </row>
    <row r="709" spans="2:20" ht="15.75" customHeight="1">
      <c r="B709" s="5"/>
      <c r="C709" s="5"/>
      <c r="D709" s="5"/>
      <c r="E709" s="5"/>
      <c r="F709" s="5"/>
      <c r="P709" s="33"/>
      <c r="Q709" s="33"/>
      <c r="R709" s="33"/>
      <c r="S709" s="33"/>
      <c r="T709" s="33"/>
    </row>
    <row r="710" spans="2:20" ht="15.75" customHeight="1">
      <c r="B710" s="5"/>
      <c r="C710" s="5"/>
      <c r="D710" s="5"/>
      <c r="E710" s="5"/>
      <c r="F710" s="5"/>
      <c r="P710" s="33"/>
      <c r="Q710" s="33"/>
      <c r="R710" s="33"/>
      <c r="S710" s="33"/>
      <c r="T710" s="33"/>
    </row>
    <row r="711" spans="2:20" ht="15.75" customHeight="1">
      <c r="B711" s="5"/>
      <c r="C711" s="5"/>
      <c r="D711" s="5"/>
      <c r="E711" s="5"/>
      <c r="F711" s="5"/>
      <c r="P711" s="33"/>
      <c r="Q711" s="33"/>
      <c r="R711" s="33"/>
      <c r="S711" s="33"/>
      <c r="T711" s="33"/>
    </row>
    <row r="712" spans="2:20" ht="15.75" customHeight="1">
      <c r="B712" s="5"/>
      <c r="C712" s="5"/>
      <c r="D712" s="5"/>
      <c r="E712" s="5"/>
      <c r="F712" s="5"/>
      <c r="P712" s="33"/>
      <c r="Q712" s="33"/>
      <c r="R712" s="33"/>
      <c r="S712" s="33"/>
      <c r="T712" s="33"/>
    </row>
    <row r="713" spans="2:20" ht="15.75" customHeight="1">
      <c r="B713" s="5"/>
      <c r="C713" s="5"/>
      <c r="D713" s="5"/>
      <c r="E713" s="5"/>
      <c r="F713" s="5"/>
      <c r="P713" s="33"/>
      <c r="Q713" s="33"/>
      <c r="R713" s="33"/>
      <c r="S713" s="33"/>
      <c r="T713" s="33"/>
    </row>
    <row r="714" spans="2:20" ht="15.75" customHeight="1">
      <c r="B714" s="5"/>
      <c r="C714" s="5"/>
      <c r="D714" s="5"/>
      <c r="E714" s="5"/>
      <c r="F714" s="5"/>
      <c r="P714" s="33"/>
      <c r="Q714" s="33"/>
      <c r="R714" s="33"/>
      <c r="S714" s="33"/>
      <c r="T714" s="33"/>
    </row>
    <row r="715" spans="2:20" ht="15.75" customHeight="1">
      <c r="B715" s="5"/>
      <c r="C715" s="5"/>
      <c r="D715" s="5"/>
      <c r="E715" s="5"/>
      <c r="F715" s="5"/>
      <c r="P715" s="33"/>
      <c r="Q715" s="33"/>
      <c r="R715" s="33"/>
      <c r="S715" s="33"/>
      <c r="T715" s="33"/>
    </row>
    <row r="716" spans="2:20" ht="15.75" customHeight="1">
      <c r="B716" s="5"/>
      <c r="C716" s="5"/>
      <c r="D716" s="5"/>
      <c r="E716" s="5"/>
      <c r="F716" s="5"/>
      <c r="P716" s="33"/>
      <c r="Q716" s="33"/>
      <c r="R716" s="33"/>
      <c r="S716" s="33"/>
      <c r="T716" s="33"/>
    </row>
    <row r="717" spans="2:20" ht="15.75" customHeight="1">
      <c r="B717" s="5"/>
      <c r="C717" s="5"/>
      <c r="D717" s="5"/>
      <c r="E717" s="5"/>
      <c r="F717" s="5"/>
      <c r="P717" s="33"/>
      <c r="Q717" s="33"/>
      <c r="R717" s="33"/>
      <c r="S717" s="33"/>
      <c r="T717" s="33"/>
    </row>
    <row r="718" spans="2:20" ht="15.75" customHeight="1">
      <c r="B718" s="5"/>
      <c r="C718" s="5"/>
      <c r="D718" s="5"/>
      <c r="E718" s="5"/>
      <c r="F718" s="5"/>
      <c r="P718" s="33"/>
      <c r="Q718" s="33"/>
      <c r="R718" s="33"/>
      <c r="S718" s="33"/>
      <c r="T718" s="33"/>
    </row>
    <row r="719" spans="2:20" ht="15.75" customHeight="1">
      <c r="B719" s="5"/>
      <c r="C719" s="5"/>
      <c r="D719" s="5"/>
      <c r="E719" s="5"/>
      <c r="F719" s="5"/>
      <c r="P719" s="33"/>
      <c r="Q719" s="33"/>
      <c r="R719" s="33"/>
      <c r="S719" s="33"/>
      <c r="T719" s="33"/>
    </row>
    <row r="720" spans="2:20" ht="15.75" customHeight="1">
      <c r="B720" s="5"/>
      <c r="C720" s="5"/>
      <c r="D720" s="5"/>
      <c r="E720" s="5"/>
      <c r="F720" s="5"/>
      <c r="P720" s="33"/>
      <c r="Q720" s="33"/>
      <c r="R720" s="33"/>
      <c r="S720" s="33"/>
      <c r="T720" s="33"/>
    </row>
    <row r="721" spans="2:20" ht="15.75" customHeight="1">
      <c r="B721" s="5"/>
      <c r="C721" s="5"/>
      <c r="D721" s="5"/>
      <c r="E721" s="5"/>
      <c r="F721" s="5"/>
      <c r="P721" s="33"/>
      <c r="Q721" s="33"/>
      <c r="R721" s="33"/>
      <c r="S721" s="33"/>
      <c r="T721" s="33"/>
    </row>
    <row r="722" spans="2:20" ht="15.75" customHeight="1">
      <c r="B722" s="5"/>
      <c r="C722" s="5"/>
      <c r="D722" s="5"/>
      <c r="E722" s="5"/>
      <c r="F722" s="5"/>
      <c r="P722" s="33"/>
      <c r="Q722" s="33"/>
      <c r="R722" s="33"/>
      <c r="S722" s="33"/>
      <c r="T722" s="33"/>
    </row>
    <row r="723" spans="2:20" ht="15.75" customHeight="1">
      <c r="B723" s="5"/>
      <c r="C723" s="5"/>
      <c r="D723" s="5"/>
      <c r="E723" s="5"/>
      <c r="F723" s="5"/>
      <c r="P723" s="33"/>
      <c r="Q723" s="33"/>
      <c r="R723" s="33"/>
      <c r="S723" s="33"/>
      <c r="T723" s="33"/>
    </row>
    <row r="724" spans="2:20" ht="15.75" customHeight="1">
      <c r="B724" s="5"/>
      <c r="C724" s="5"/>
      <c r="D724" s="5"/>
      <c r="E724" s="5"/>
      <c r="F724" s="5"/>
      <c r="P724" s="33"/>
      <c r="Q724" s="33"/>
      <c r="R724" s="33"/>
      <c r="S724" s="33"/>
      <c r="T724" s="33"/>
    </row>
    <row r="725" spans="2:20" ht="15.75" customHeight="1">
      <c r="B725" s="5"/>
      <c r="C725" s="5"/>
      <c r="D725" s="5"/>
      <c r="E725" s="5"/>
      <c r="F725" s="5"/>
      <c r="P725" s="33"/>
      <c r="Q725" s="33"/>
      <c r="R725" s="33"/>
      <c r="S725" s="33"/>
      <c r="T725" s="33"/>
    </row>
    <row r="726" spans="2:20" ht="15.75" customHeight="1">
      <c r="B726" s="5"/>
      <c r="C726" s="5"/>
      <c r="D726" s="5"/>
      <c r="E726" s="5"/>
      <c r="F726" s="5"/>
      <c r="P726" s="33"/>
      <c r="Q726" s="33"/>
      <c r="R726" s="33"/>
      <c r="S726" s="33"/>
      <c r="T726" s="33"/>
    </row>
    <row r="727" spans="2:20" ht="15.75" customHeight="1">
      <c r="B727" s="5"/>
      <c r="C727" s="5"/>
      <c r="D727" s="5"/>
      <c r="E727" s="5"/>
      <c r="F727" s="5"/>
      <c r="P727" s="33"/>
      <c r="Q727" s="33"/>
      <c r="R727" s="33"/>
      <c r="S727" s="33"/>
      <c r="T727" s="33"/>
    </row>
    <row r="728" spans="2:20" ht="15.75" customHeight="1">
      <c r="B728" s="5"/>
      <c r="C728" s="5"/>
      <c r="D728" s="5"/>
      <c r="E728" s="5"/>
      <c r="F728" s="5"/>
      <c r="P728" s="33"/>
      <c r="Q728" s="33"/>
      <c r="R728" s="33"/>
      <c r="S728" s="33"/>
      <c r="T728" s="33"/>
    </row>
    <row r="729" spans="2:20" ht="15.75" customHeight="1">
      <c r="B729" s="5"/>
      <c r="C729" s="5"/>
      <c r="D729" s="5"/>
      <c r="E729" s="5"/>
      <c r="F729" s="5"/>
      <c r="P729" s="33"/>
      <c r="Q729" s="33"/>
      <c r="R729" s="33"/>
      <c r="S729" s="33"/>
      <c r="T729" s="33"/>
    </row>
    <row r="730" spans="2:20" ht="15.75" customHeight="1">
      <c r="B730" s="5"/>
      <c r="C730" s="5"/>
      <c r="D730" s="5"/>
      <c r="E730" s="5"/>
      <c r="F730" s="5"/>
      <c r="P730" s="33"/>
      <c r="Q730" s="33"/>
      <c r="R730" s="33"/>
      <c r="S730" s="33"/>
      <c r="T730" s="33"/>
    </row>
    <row r="731" spans="2:20" ht="15.75" customHeight="1">
      <c r="B731" s="5"/>
      <c r="C731" s="5"/>
      <c r="D731" s="5"/>
      <c r="E731" s="5"/>
      <c r="F731" s="5"/>
      <c r="P731" s="33"/>
      <c r="Q731" s="33"/>
      <c r="R731" s="33"/>
      <c r="S731" s="33"/>
      <c r="T731" s="33"/>
    </row>
    <row r="732" spans="2:20" ht="15.75" customHeight="1">
      <c r="B732" s="5"/>
      <c r="C732" s="5"/>
      <c r="D732" s="5"/>
      <c r="E732" s="5"/>
      <c r="F732" s="5"/>
      <c r="P732" s="33"/>
      <c r="Q732" s="33"/>
      <c r="R732" s="33"/>
      <c r="S732" s="33"/>
      <c r="T732" s="33"/>
    </row>
    <row r="733" spans="2:20" ht="15.75" customHeight="1">
      <c r="B733" s="5"/>
      <c r="C733" s="5"/>
      <c r="D733" s="5"/>
      <c r="E733" s="5"/>
      <c r="F733" s="5"/>
      <c r="P733" s="33"/>
      <c r="Q733" s="33"/>
      <c r="R733" s="33"/>
      <c r="S733" s="33"/>
      <c r="T733" s="33"/>
    </row>
    <row r="734" spans="2:20" ht="15.75" customHeight="1">
      <c r="B734" s="5"/>
      <c r="C734" s="5"/>
      <c r="D734" s="5"/>
      <c r="E734" s="5"/>
      <c r="F734" s="5"/>
      <c r="P734" s="33"/>
      <c r="Q734" s="33"/>
      <c r="R734" s="33"/>
      <c r="S734" s="33"/>
      <c r="T734" s="33"/>
    </row>
    <row r="735" spans="2:20" ht="15.75" customHeight="1">
      <c r="B735" s="5"/>
      <c r="C735" s="5"/>
      <c r="D735" s="5"/>
      <c r="E735" s="5"/>
      <c r="F735" s="5"/>
      <c r="P735" s="33"/>
      <c r="Q735" s="33"/>
      <c r="R735" s="33"/>
      <c r="S735" s="33"/>
      <c r="T735" s="33"/>
    </row>
    <row r="736" spans="2:20" ht="15.75" customHeight="1">
      <c r="B736" s="5"/>
      <c r="C736" s="5"/>
      <c r="D736" s="5"/>
      <c r="E736" s="5"/>
      <c r="F736" s="5"/>
      <c r="P736" s="33"/>
      <c r="Q736" s="33"/>
      <c r="R736" s="33"/>
      <c r="S736" s="33"/>
      <c r="T736" s="33"/>
    </row>
    <row r="737" spans="2:20" ht="15.75" customHeight="1">
      <c r="B737" s="5"/>
      <c r="C737" s="5"/>
      <c r="D737" s="5"/>
      <c r="E737" s="5"/>
      <c r="F737" s="5"/>
      <c r="P737" s="33"/>
      <c r="Q737" s="33"/>
      <c r="R737" s="33"/>
      <c r="S737" s="33"/>
      <c r="T737" s="33"/>
    </row>
    <row r="738" spans="2:20" ht="15.75" customHeight="1">
      <c r="B738" s="5"/>
      <c r="C738" s="5"/>
      <c r="D738" s="5"/>
      <c r="E738" s="5"/>
      <c r="F738" s="5"/>
      <c r="P738" s="33"/>
      <c r="Q738" s="33"/>
      <c r="R738" s="33"/>
      <c r="S738" s="33"/>
      <c r="T738" s="33"/>
    </row>
    <row r="739" spans="2:20" ht="15.75" customHeight="1">
      <c r="B739" s="5"/>
      <c r="C739" s="5"/>
      <c r="D739" s="5"/>
      <c r="E739" s="5"/>
      <c r="F739" s="5"/>
      <c r="P739" s="33"/>
      <c r="Q739" s="33"/>
      <c r="R739" s="33"/>
      <c r="S739" s="33"/>
      <c r="T739" s="33"/>
    </row>
    <row r="740" spans="2:20" ht="15.75" customHeight="1">
      <c r="B740" s="5"/>
      <c r="C740" s="5"/>
      <c r="D740" s="5"/>
      <c r="E740" s="5"/>
      <c r="F740" s="5"/>
      <c r="P740" s="33"/>
      <c r="Q740" s="33"/>
      <c r="R740" s="33"/>
      <c r="S740" s="33"/>
      <c r="T740" s="33"/>
    </row>
    <row r="741" spans="2:20" ht="15.75" customHeight="1">
      <c r="B741" s="5"/>
      <c r="C741" s="5"/>
      <c r="D741" s="5"/>
      <c r="E741" s="5"/>
      <c r="F741" s="5"/>
      <c r="P741" s="33"/>
      <c r="Q741" s="33"/>
      <c r="R741" s="33"/>
      <c r="S741" s="33"/>
      <c r="T741" s="33"/>
    </row>
    <row r="742" spans="2:20" ht="15.75" customHeight="1">
      <c r="B742" s="5"/>
      <c r="C742" s="5"/>
      <c r="D742" s="5"/>
      <c r="E742" s="5"/>
      <c r="F742" s="5"/>
      <c r="P742" s="33"/>
      <c r="Q742" s="33"/>
      <c r="R742" s="33"/>
      <c r="S742" s="33"/>
      <c r="T742" s="33"/>
    </row>
    <row r="743" spans="2:20" ht="15.75" customHeight="1">
      <c r="B743" s="5"/>
      <c r="C743" s="5"/>
      <c r="D743" s="5"/>
      <c r="E743" s="5"/>
      <c r="F743" s="5"/>
      <c r="P743" s="33"/>
      <c r="Q743" s="33"/>
      <c r="R743" s="33"/>
      <c r="S743" s="33"/>
      <c r="T743" s="33"/>
    </row>
    <row r="744" spans="2:20" ht="15.75" customHeight="1">
      <c r="B744" s="5"/>
      <c r="C744" s="5"/>
      <c r="D744" s="5"/>
      <c r="E744" s="5"/>
      <c r="F744" s="5"/>
      <c r="P744" s="33"/>
      <c r="Q744" s="33"/>
      <c r="R744" s="33"/>
      <c r="S744" s="33"/>
      <c r="T744" s="33"/>
    </row>
    <row r="745" spans="2:20" ht="15.75" customHeight="1">
      <c r="B745" s="5"/>
      <c r="C745" s="5"/>
      <c r="D745" s="5"/>
      <c r="E745" s="5"/>
      <c r="F745" s="5"/>
      <c r="P745" s="33"/>
      <c r="Q745" s="33"/>
      <c r="R745" s="33"/>
      <c r="S745" s="33"/>
      <c r="T745" s="33"/>
    </row>
    <row r="746" spans="2:20" ht="15.75" customHeight="1">
      <c r="B746" s="5"/>
      <c r="C746" s="5"/>
      <c r="D746" s="5"/>
      <c r="E746" s="5"/>
      <c r="F746" s="5"/>
      <c r="P746" s="33"/>
      <c r="Q746" s="33"/>
      <c r="R746" s="33"/>
      <c r="S746" s="33"/>
      <c r="T746" s="33"/>
    </row>
    <row r="747" spans="2:20" ht="15.75" customHeight="1">
      <c r="B747" s="5"/>
      <c r="C747" s="5"/>
      <c r="D747" s="5"/>
      <c r="E747" s="5"/>
      <c r="F747" s="5"/>
      <c r="P747" s="33"/>
      <c r="Q747" s="33"/>
      <c r="R747" s="33"/>
      <c r="S747" s="33"/>
      <c r="T747" s="33"/>
    </row>
    <row r="748" spans="2:20" ht="15.75" customHeight="1">
      <c r="B748" s="5"/>
      <c r="C748" s="5"/>
      <c r="D748" s="5"/>
      <c r="E748" s="5"/>
      <c r="F748" s="5"/>
      <c r="P748" s="33"/>
      <c r="Q748" s="33"/>
      <c r="R748" s="33"/>
      <c r="S748" s="33"/>
      <c r="T748" s="33"/>
    </row>
    <row r="749" spans="2:20" ht="15.75" customHeight="1">
      <c r="B749" s="5"/>
      <c r="C749" s="5"/>
      <c r="D749" s="5"/>
      <c r="E749" s="5"/>
      <c r="F749" s="5"/>
      <c r="P749" s="33"/>
      <c r="Q749" s="33"/>
      <c r="R749" s="33"/>
      <c r="S749" s="33"/>
      <c r="T749" s="33"/>
    </row>
    <row r="750" spans="2:20" ht="15.75" customHeight="1">
      <c r="B750" s="5"/>
      <c r="C750" s="5"/>
      <c r="D750" s="5"/>
      <c r="E750" s="5"/>
      <c r="F750" s="5"/>
      <c r="P750" s="33"/>
      <c r="Q750" s="33"/>
      <c r="R750" s="33"/>
      <c r="S750" s="33"/>
      <c r="T750" s="33"/>
    </row>
    <row r="751" spans="2:20" ht="15.75" customHeight="1">
      <c r="B751" s="5"/>
      <c r="C751" s="5"/>
      <c r="D751" s="5"/>
      <c r="E751" s="5"/>
      <c r="F751" s="5"/>
      <c r="P751" s="33"/>
      <c r="Q751" s="33"/>
      <c r="R751" s="33"/>
      <c r="S751" s="33"/>
      <c r="T751" s="33"/>
    </row>
    <row r="752" spans="2:20" ht="15.75" customHeight="1">
      <c r="B752" s="5"/>
      <c r="C752" s="5"/>
      <c r="D752" s="5"/>
      <c r="E752" s="5"/>
      <c r="F752" s="5"/>
      <c r="P752" s="33"/>
      <c r="Q752" s="33"/>
      <c r="R752" s="33"/>
      <c r="S752" s="33"/>
      <c r="T752" s="33"/>
    </row>
    <row r="753" spans="2:20" ht="15.75" customHeight="1">
      <c r="B753" s="5"/>
      <c r="C753" s="5"/>
      <c r="D753" s="5"/>
      <c r="E753" s="5"/>
      <c r="F753" s="5"/>
      <c r="P753" s="33"/>
      <c r="Q753" s="33"/>
      <c r="R753" s="33"/>
      <c r="S753" s="33"/>
      <c r="T753" s="33"/>
    </row>
    <row r="754" spans="2:20" ht="15.75" customHeight="1">
      <c r="B754" s="5"/>
      <c r="C754" s="5"/>
      <c r="D754" s="5"/>
      <c r="E754" s="5"/>
      <c r="F754" s="5"/>
      <c r="P754" s="33"/>
      <c r="Q754" s="33"/>
      <c r="R754" s="33"/>
      <c r="S754" s="33"/>
      <c r="T754" s="33"/>
    </row>
    <row r="755" spans="2:20" ht="15.75" customHeight="1">
      <c r="B755" s="5"/>
      <c r="C755" s="5"/>
      <c r="D755" s="5"/>
      <c r="E755" s="5"/>
      <c r="F755" s="5"/>
      <c r="P755" s="33"/>
      <c r="Q755" s="33"/>
      <c r="R755" s="33"/>
      <c r="S755" s="33"/>
      <c r="T755" s="33"/>
    </row>
    <row r="756" spans="2:20" ht="15.75" customHeight="1">
      <c r="B756" s="5"/>
      <c r="C756" s="5"/>
      <c r="D756" s="5"/>
      <c r="E756" s="5"/>
      <c r="F756" s="5"/>
      <c r="P756" s="33"/>
      <c r="Q756" s="33"/>
      <c r="R756" s="33"/>
      <c r="S756" s="33"/>
      <c r="T756" s="33"/>
    </row>
    <row r="757" spans="2:20" ht="15.75" customHeight="1">
      <c r="B757" s="5"/>
      <c r="C757" s="5"/>
      <c r="D757" s="5"/>
      <c r="E757" s="5"/>
      <c r="F757" s="5"/>
      <c r="P757" s="33"/>
      <c r="Q757" s="33"/>
      <c r="R757" s="33"/>
      <c r="S757" s="33"/>
      <c r="T757" s="33"/>
    </row>
    <row r="758" spans="2:20" ht="15.75" customHeight="1">
      <c r="B758" s="5"/>
      <c r="C758" s="5"/>
      <c r="D758" s="5"/>
      <c r="E758" s="5"/>
      <c r="F758" s="5"/>
      <c r="P758" s="33"/>
      <c r="Q758" s="33"/>
      <c r="R758" s="33"/>
      <c r="S758" s="33"/>
      <c r="T758" s="33"/>
    </row>
    <row r="759" spans="2:20" ht="15.75" customHeight="1">
      <c r="B759" s="5"/>
      <c r="C759" s="5"/>
      <c r="D759" s="5"/>
      <c r="E759" s="5"/>
      <c r="F759" s="5"/>
      <c r="P759" s="33"/>
      <c r="Q759" s="33"/>
      <c r="R759" s="33"/>
      <c r="S759" s="33"/>
      <c r="T759" s="33"/>
    </row>
    <row r="760" spans="2:20" ht="15.75" customHeight="1">
      <c r="B760" s="5"/>
      <c r="C760" s="5"/>
      <c r="D760" s="5"/>
      <c r="E760" s="5"/>
      <c r="F760" s="5"/>
      <c r="P760" s="33"/>
      <c r="Q760" s="33"/>
      <c r="R760" s="33"/>
      <c r="S760" s="33"/>
      <c r="T760" s="33"/>
    </row>
    <row r="761" spans="2:20" ht="15.75" customHeight="1">
      <c r="B761" s="5"/>
      <c r="C761" s="5"/>
      <c r="D761" s="5"/>
      <c r="E761" s="5"/>
      <c r="F761" s="5"/>
      <c r="P761" s="33"/>
      <c r="Q761" s="33"/>
      <c r="R761" s="33"/>
      <c r="S761" s="33"/>
      <c r="T761" s="33"/>
    </row>
    <row r="762" spans="2:20" ht="15.75" customHeight="1">
      <c r="B762" s="5"/>
      <c r="C762" s="5"/>
      <c r="D762" s="5"/>
      <c r="E762" s="5"/>
      <c r="F762" s="5"/>
      <c r="P762" s="33"/>
      <c r="Q762" s="33"/>
      <c r="R762" s="33"/>
      <c r="S762" s="33"/>
      <c r="T762" s="33"/>
    </row>
    <row r="763" spans="2:20" ht="15.75" customHeight="1">
      <c r="B763" s="5"/>
      <c r="C763" s="5"/>
      <c r="D763" s="5"/>
      <c r="E763" s="5"/>
      <c r="F763" s="5"/>
      <c r="P763" s="33"/>
      <c r="Q763" s="33"/>
      <c r="R763" s="33"/>
      <c r="S763" s="33"/>
      <c r="T763" s="33"/>
    </row>
    <row r="764" spans="2:20" ht="15.75" customHeight="1">
      <c r="B764" s="5"/>
      <c r="C764" s="5"/>
      <c r="D764" s="5"/>
      <c r="E764" s="5"/>
      <c r="F764" s="5"/>
      <c r="P764" s="33"/>
      <c r="Q764" s="33"/>
      <c r="R764" s="33"/>
      <c r="S764" s="33"/>
      <c r="T764" s="33"/>
    </row>
    <row r="765" spans="2:20" ht="15.75" customHeight="1">
      <c r="B765" s="5"/>
      <c r="C765" s="5"/>
      <c r="D765" s="5"/>
      <c r="E765" s="5"/>
      <c r="F765" s="5"/>
      <c r="P765" s="33"/>
      <c r="Q765" s="33"/>
      <c r="R765" s="33"/>
      <c r="S765" s="33"/>
      <c r="T765" s="33"/>
    </row>
    <row r="766" spans="2:20" ht="15.75" customHeight="1">
      <c r="B766" s="5"/>
      <c r="C766" s="5"/>
      <c r="D766" s="5"/>
      <c r="E766" s="5"/>
      <c r="F766" s="5"/>
      <c r="P766" s="33"/>
      <c r="Q766" s="33"/>
      <c r="R766" s="33"/>
      <c r="S766" s="33"/>
      <c r="T766" s="33"/>
    </row>
    <row r="767" spans="2:20" ht="15.75" customHeight="1">
      <c r="B767" s="5"/>
      <c r="C767" s="5"/>
      <c r="D767" s="5"/>
      <c r="E767" s="5"/>
      <c r="F767" s="5"/>
      <c r="P767" s="33"/>
      <c r="Q767" s="33"/>
      <c r="R767" s="33"/>
      <c r="S767" s="33"/>
      <c r="T767" s="33"/>
    </row>
    <row r="768" spans="2:20" ht="15.75" customHeight="1">
      <c r="B768" s="5"/>
      <c r="C768" s="5"/>
      <c r="D768" s="5"/>
      <c r="E768" s="5"/>
      <c r="F768" s="5"/>
      <c r="P768" s="33"/>
      <c r="Q768" s="33"/>
      <c r="R768" s="33"/>
      <c r="S768" s="33"/>
      <c r="T768" s="33"/>
    </row>
    <row r="769" spans="2:20" ht="15.75" customHeight="1">
      <c r="B769" s="5"/>
      <c r="C769" s="5"/>
      <c r="D769" s="5"/>
      <c r="E769" s="5"/>
      <c r="F769" s="5"/>
      <c r="P769" s="33"/>
      <c r="Q769" s="33"/>
      <c r="R769" s="33"/>
      <c r="S769" s="33"/>
      <c r="T769" s="33"/>
    </row>
    <row r="770" spans="2:20" ht="15.75" customHeight="1">
      <c r="B770" s="5"/>
      <c r="C770" s="5"/>
      <c r="D770" s="5"/>
      <c r="E770" s="5"/>
      <c r="F770" s="5"/>
      <c r="P770" s="33"/>
      <c r="Q770" s="33"/>
      <c r="R770" s="33"/>
      <c r="S770" s="33"/>
      <c r="T770" s="33"/>
    </row>
    <row r="771" spans="2:20" ht="15.75" customHeight="1">
      <c r="B771" s="5"/>
      <c r="C771" s="5"/>
      <c r="D771" s="5"/>
      <c r="E771" s="5"/>
      <c r="F771" s="5"/>
      <c r="P771" s="33"/>
      <c r="Q771" s="33"/>
      <c r="R771" s="33"/>
      <c r="S771" s="33"/>
      <c r="T771" s="33"/>
    </row>
    <row r="772" spans="2:20" ht="15.75" customHeight="1">
      <c r="B772" s="5"/>
      <c r="C772" s="5"/>
      <c r="D772" s="5"/>
      <c r="E772" s="5"/>
      <c r="F772" s="5"/>
      <c r="P772" s="33"/>
      <c r="Q772" s="33"/>
      <c r="R772" s="33"/>
      <c r="S772" s="33"/>
      <c r="T772" s="33"/>
    </row>
    <row r="773" spans="2:20" ht="15.75" customHeight="1">
      <c r="B773" s="5"/>
      <c r="C773" s="5"/>
      <c r="D773" s="5"/>
      <c r="E773" s="5"/>
      <c r="F773" s="5"/>
      <c r="P773" s="33"/>
      <c r="Q773" s="33"/>
      <c r="R773" s="33"/>
      <c r="S773" s="33"/>
      <c r="T773" s="33"/>
    </row>
    <row r="774" spans="2:20" ht="15.75" customHeight="1">
      <c r="B774" s="5"/>
      <c r="C774" s="5"/>
      <c r="D774" s="5"/>
      <c r="E774" s="5"/>
      <c r="F774" s="5"/>
      <c r="P774" s="33"/>
      <c r="Q774" s="33"/>
      <c r="R774" s="33"/>
      <c r="S774" s="33"/>
      <c r="T774" s="33"/>
    </row>
    <row r="775" spans="2:20" ht="15.75" customHeight="1">
      <c r="B775" s="5"/>
      <c r="C775" s="5"/>
      <c r="D775" s="5"/>
      <c r="E775" s="5"/>
      <c r="F775" s="5"/>
      <c r="P775" s="33"/>
      <c r="Q775" s="33"/>
      <c r="R775" s="33"/>
      <c r="S775" s="33"/>
      <c r="T775" s="33"/>
    </row>
    <row r="776" spans="2:20" ht="15.75" customHeight="1">
      <c r="B776" s="5"/>
      <c r="C776" s="5"/>
      <c r="D776" s="5"/>
      <c r="E776" s="5"/>
      <c r="F776" s="5"/>
      <c r="P776" s="33"/>
      <c r="Q776" s="33"/>
      <c r="R776" s="33"/>
      <c r="S776" s="33"/>
      <c r="T776" s="33"/>
    </row>
    <row r="777" spans="2:20" ht="15.75" customHeight="1">
      <c r="B777" s="5"/>
      <c r="C777" s="5"/>
      <c r="D777" s="5"/>
      <c r="E777" s="5"/>
      <c r="F777" s="5"/>
      <c r="P777" s="33"/>
      <c r="Q777" s="33"/>
      <c r="R777" s="33"/>
      <c r="S777" s="33"/>
      <c r="T777" s="33"/>
    </row>
    <row r="778" spans="2:20" ht="15.75" customHeight="1">
      <c r="B778" s="5"/>
      <c r="C778" s="5"/>
      <c r="D778" s="5"/>
      <c r="E778" s="5"/>
      <c r="F778" s="5"/>
      <c r="P778" s="33"/>
      <c r="Q778" s="33"/>
      <c r="R778" s="33"/>
      <c r="S778" s="33"/>
      <c r="T778" s="33"/>
    </row>
    <row r="779" spans="2:20" ht="15.75" customHeight="1">
      <c r="B779" s="5"/>
      <c r="C779" s="5"/>
      <c r="D779" s="5"/>
      <c r="E779" s="5"/>
      <c r="F779" s="5"/>
      <c r="P779" s="33"/>
      <c r="Q779" s="33"/>
      <c r="R779" s="33"/>
      <c r="S779" s="33"/>
      <c r="T779" s="33"/>
    </row>
    <row r="780" spans="2:20" ht="15.75" customHeight="1">
      <c r="B780" s="5"/>
      <c r="C780" s="5"/>
      <c r="D780" s="5"/>
      <c r="E780" s="5"/>
      <c r="F780" s="5"/>
      <c r="P780" s="33"/>
      <c r="Q780" s="33"/>
      <c r="R780" s="33"/>
      <c r="S780" s="33"/>
      <c r="T780" s="33"/>
    </row>
    <row r="781" spans="2:20" ht="15.75" customHeight="1">
      <c r="B781" s="5"/>
      <c r="C781" s="5"/>
      <c r="D781" s="5"/>
      <c r="E781" s="5"/>
      <c r="F781" s="5"/>
      <c r="P781" s="33"/>
      <c r="Q781" s="33"/>
      <c r="R781" s="33"/>
      <c r="S781" s="33"/>
      <c r="T781" s="33"/>
    </row>
    <row r="782" spans="2:20" ht="15.75" customHeight="1">
      <c r="B782" s="5"/>
      <c r="C782" s="5"/>
      <c r="D782" s="5"/>
      <c r="E782" s="5"/>
      <c r="F782" s="5"/>
      <c r="P782" s="33"/>
      <c r="Q782" s="33"/>
      <c r="R782" s="33"/>
      <c r="S782" s="33"/>
      <c r="T782" s="33"/>
    </row>
    <row r="783" spans="2:20" ht="15.75" customHeight="1">
      <c r="B783" s="5"/>
      <c r="C783" s="5"/>
      <c r="D783" s="5"/>
      <c r="E783" s="5"/>
      <c r="F783" s="5"/>
      <c r="P783" s="33"/>
      <c r="Q783" s="33"/>
      <c r="R783" s="33"/>
      <c r="S783" s="33"/>
      <c r="T783" s="33"/>
    </row>
    <row r="784" spans="2:20" ht="15.75" customHeight="1">
      <c r="B784" s="5"/>
      <c r="C784" s="5"/>
      <c r="D784" s="5"/>
      <c r="E784" s="5"/>
      <c r="F784" s="5"/>
      <c r="P784" s="33"/>
      <c r="Q784" s="33"/>
      <c r="R784" s="33"/>
      <c r="S784" s="33"/>
      <c r="T784" s="33"/>
    </row>
    <row r="785" spans="2:20" ht="15.75" customHeight="1">
      <c r="B785" s="5"/>
      <c r="C785" s="5"/>
      <c r="D785" s="5"/>
      <c r="E785" s="5"/>
      <c r="F785" s="5"/>
      <c r="P785" s="33"/>
      <c r="Q785" s="33"/>
      <c r="R785" s="33"/>
      <c r="S785" s="33"/>
      <c r="T785" s="33"/>
    </row>
    <row r="786" spans="2:20" ht="15.75" customHeight="1">
      <c r="B786" s="5"/>
      <c r="C786" s="5"/>
      <c r="D786" s="5"/>
      <c r="E786" s="5"/>
      <c r="F786" s="5"/>
      <c r="P786" s="33"/>
      <c r="Q786" s="33"/>
      <c r="R786" s="33"/>
      <c r="S786" s="33"/>
      <c r="T786" s="33"/>
    </row>
    <row r="787" spans="2:20" ht="15.75" customHeight="1">
      <c r="B787" s="5"/>
      <c r="C787" s="5"/>
      <c r="D787" s="5"/>
      <c r="E787" s="5"/>
      <c r="F787" s="5"/>
      <c r="P787" s="33"/>
      <c r="Q787" s="33"/>
      <c r="R787" s="33"/>
      <c r="S787" s="33"/>
      <c r="T787" s="33"/>
    </row>
    <row r="788" spans="2:20" ht="15.75" customHeight="1">
      <c r="B788" s="5"/>
      <c r="C788" s="5"/>
      <c r="D788" s="5"/>
      <c r="E788" s="5"/>
      <c r="F788" s="5"/>
      <c r="P788" s="33"/>
      <c r="Q788" s="33"/>
      <c r="R788" s="33"/>
      <c r="S788" s="33"/>
      <c r="T788" s="33"/>
    </row>
    <row r="789" spans="2:20" ht="15.75" customHeight="1">
      <c r="B789" s="5"/>
      <c r="C789" s="5"/>
      <c r="D789" s="5"/>
      <c r="E789" s="5"/>
      <c r="F789" s="5"/>
      <c r="P789" s="33"/>
      <c r="Q789" s="33"/>
      <c r="R789" s="33"/>
      <c r="S789" s="33"/>
      <c r="T789" s="33"/>
    </row>
    <row r="790" spans="2:20" ht="15.75" customHeight="1">
      <c r="B790" s="5"/>
      <c r="C790" s="5"/>
      <c r="D790" s="5"/>
      <c r="E790" s="5"/>
      <c r="F790" s="5"/>
      <c r="P790" s="33"/>
      <c r="Q790" s="33"/>
      <c r="R790" s="33"/>
      <c r="S790" s="33"/>
      <c r="T790" s="33"/>
    </row>
    <row r="791" spans="2:20" ht="15.75" customHeight="1">
      <c r="B791" s="5"/>
      <c r="C791" s="5"/>
      <c r="D791" s="5"/>
      <c r="E791" s="5"/>
      <c r="F791" s="5"/>
      <c r="P791" s="33"/>
      <c r="Q791" s="33"/>
      <c r="R791" s="33"/>
      <c r="S791" s="33"/>
      <c r="T791" s="33"/>
    </row>
    <row r="792" spans="2:20" ht="15.75" customHeight="1">
      <c r="B792" s="5"/>
      <c r="C792" s="5"/>
      <c r="D792" s="5"/>
      <c r="E792" s="5"/>
      <c r="F792" s="5"/>
      <c r="P792" s="33"/>
      <c r="Q792" s="33"/>
      <c r="R792" s="33"/>
      <c r="S792" s="33"/>
      <c r="T792" s="33"/>
    </row>
    <row r="793" spans="2:20" ht="15.75" customHeight="1">
      <c r="B793" s="5"/>
      <c r="C793" s="5"/>
      <c r="D793" s="5"/>
      <c r="E793" s="5"/>
      <c r="F793" s="5"/>
      <c r="P793" s="33"/>
      <c r="Q793" s="33"/>
      <c r="R793" s="33"/>
      <c r="S793" s="33"/>
      <c r="T793" s="33"/>
    </row>
    <row r="794" spans="2:20" ht="15.75" customHeight="1">
      <c r="B794" s="5"/>
      <c r="C794" s="5"/>
      <c r="D794" s="5"/>
      <c r="E794" s="5"/>
      <c r="F794" s="5"/>
      <c r="P794" s="33"/>
      <c r="Q794" s="33"/>
      <c r="R794" s="33"/>
      <c r="S794" s="33"/>
      <c r="T794" s="33"/>
    </row>
    <row r="795" spans="2:20" ht="15.75" customHeight="1">
      <c r="B795" s="5"/>
      <c r="C795" s="5"/>
      <c r="D795" s="5"/>
      <c r="E795" s="5"/>
      <c r="F795" s="5"/>
      <c r="P795" s="33"/>
      <c r="Q795" s="33"/>
      <c r="R795" s="33"/>
      <c r="S795" s="33"/>
      <c r="T795" s="33"/>
    </row>
    <row r="796" spans="2:20" ht="15.75" customHeight="1">
      <c r="B796" s="5"/>
      <c r="C796" s="5"/>
      <c r="D796" s="5"/>
      <c r="E796" s="5"/>
      <c r="F796" s="5"/>
      <c r="P796" s="33"/>
      <c r="Q796" s="33"/>
      <c r="R796" s="33"/>
      <c r="S796" s="33"/>
      <c r="T796" s="33"/>
    </row>
    <row r="797" spans="2:20" ht="15.75" customHeight="1">
      <c r="B797" s="5"/>
      <c r="C797" s="5"/>
      <c r="D797" s="5"/>
      <c r="E797" s="5"/>
      <c r="F797" s="5"/>
      <c r="P797" s="33"/>
      <c r="Q797" s="33"/>
      <c r="R797" s="33"/>
      <c r="S797" s="33"/>
      <c r="T797" s="33"/>
    </row>
    <row r="798" spans="2:20" ht="15.75" customHeight="1">
      <c r="B798" s="5"/>
      <c r="C798" s="5"/>
      <c r="D798" s="5"/>
      <c r="E798" s="5"/>
      <c r="F798" s="5"/>
      <c r="P798" s="33"/>
      <c r="Q798" s="33"/>
      <c r="R798" s="33"/>
      <c r="S798" s="33"/>
      <c r="T798" s="33"/>
    </row>
    <row r="799" spans="2:20" ht="15.75" customHeight="1">
      <c r="B799" s="5"/>
      <c r="C799" s="5"/>
      <c r="D799" s="5"/>
      <c r="E799" s="5"/>
      <c r="F799" s="5"/>
      <c r="P799" s="33"/>
      <c r="Q799" s="33"/>
      <c r="R799" s="33"/>
      <c r="S799" s="33"/>
      <c r="T799" s="33"/>
    </row>
    <row r="800" spans="2:20" ht="15.75" customHeight="1">
      <c r="B800" s="5"/>
      <c r="C800" s="5"/>
      <c r="D800" s="5"/>
      <c r="E800" s="5"/>
      <c r="F800" s="5"/>
      <c r="P800" s="33"/>
      <c r="Q800" s="33"/>
      <c r="R800" s="33"/>
      <c r="S800" s="33"/>
      <c r="T800" s="33"/>
    </row>
    <row r="801" spans="2:20" ht="15.75" customHeight="1">
      <c r="B801" s="5"/>
      <c r="C801" s="5"/>
      <c r="D801" s="5"/>
      <c r="E801" s="5"/>
      <c r="F801" s="5"/>
      <c r="P801" s="33"/>
      <c r="Q801" s="33"/>
      <c r="R801" s="33"/>
      <c r="S801" s="33"/>
      <c r="T801" s="33"/>
    </row>
    <row r="802" spans="2:20" ht="15.75" customHeight="1">
      <c r="B802" s="5"/>
      <c r="C802" s="5"/>
      <c r="D802" s="5"/>
      <c r="E802" s="5"/>
      <c r="F802" s="5"/>
      <c r="P802" s="33"/>
      <c r="Q802" s="33"/>
      <c r="R802" s="33"/>
      <c r="S802" s="33"/>
      <c r="T802" s="33"/>
    </row>
    <row r="803" spans="2:20" ht="15.75" customHeight="1">
      <c r="B803" s="5"/>
      <c r="C803" s="5"/>
      <c r="D803" s="5"/>
      <c r="E803" s="5"/>
      <c r="F803" s="5"/>
      <c r="P803" s="33"/>
      <c r="Q803" s="33"/>
      <c r="R803" s="33"/>
      <c r="S803" s="33"/>
      <c r="T803" s="33"/>
    </row>
    <row r="804" spans="2:20" ht="15.75" customHeight="1">
      <c r="B804" s="5"/>
      <c r="C804" s="5"/>
      <c r="D804" s="5"/>
      <c r="E804" s="5"/>
      <c r="F804" s="5"/>
      <c r="P804" s="33"/>
      <c r="Q804" s="33"/>
      <c r="R804" s="33"/>
      <c r="S804" s="33"/>
      <c r="T804" s="33"/>
    </row>
    <row r="805" spans="2:20" ht="15.75" customHeight="1">
      <c r="B805" s="5"/>
      <c r="C805" s="5"/>
      <c r="D805" s="5"/>
      <c r="E805" s="5"/>
      <c r="F805" s="5"/>
      <c r="P805" s="33"/>
      <c r="Q805" s="33"/>
      <c r="R805" s="33"/>
      <c r="S805" s="33"/>
      <c r="T805" s="33"/>
    </row>
    <row r="806" spans="2:20" ht="15.75" customHeight="1">
      <c r="B806" s="5"/>
      <c r="C806" s="5"/>
      <c r="D806" s="5"/>
      <c r="E806" s="5"/>
      <c r="F806" s="5"/>
      <c r="P806" s="33"/>
      <c r="Q806" s="33"/>
      <c r="R806" s="33"/>
      <c r="S806" s="33"/>
      <c r="T806" s="33"/>
    </row>
    <row r="807" spans="2:20" ht="15.75" customHeight="1">
      <c r="B807" s="5"/>
      <c r="C807" s="5"/>
      <c r="D807" s="5"/>
      <c r="E807" s="5"/>
      <c r="F807" s="5"/>
      <c r="P807" s="33"/>
      <c r="Q807" s="33"/>
      <c r="R807" s="33"/>
      <c r="S807" s="33"/>
      <c r="T807" s="33"/>
    </row>
    <row r="808" spans="2:20" ht="15.75" customHeight="1">
      <c r="B808" s="5"/>
      <c r="C808" s="5"/>
      <c r="D808" s="5"/>
      <c r="E808" s="5"/>
      <c r="F808" s="5"/>
      <c r="P808" s="33"/>
      <c r="Q808" s="33"/>
      <c r="R808" s="33"/>
      <c r="S808" s="33"/>
      <c r="T808" s="33"/>
    </row>
    <row r="809" spans="2:20" ht="15.75" customHeight="1">
      <c r="B809" s="5"/>
      <c r="C809" s="5"/>
      <c r="D809" s="5"/>
      <c r="E809" s="5"/>
      <c r="F809" s="5"/>
      <c r="P809" s="33"/>
      <c r="Q809" s="33"/>
      <c r="R809" s="33"/>
      <c r="S809" s="33"/>
      <c r="T809" s="33"/>
    </row>
    <row r="810" spans="2:20" ht="15.75" customHeight="1">
      <c r="B810" s="5"/>
      <c r="C810" s="5"/>
      <c r="D810" s="5"/>
      <c r="E810" s="5"/>
      <c r="F810" s="5"/>
      <c r="P810" s="33"/>
      <c r="Q810" s="33"/>
      <c r="R810" s="33"/>
      <c r="S810" s="33"/>
      <c r="T810" s="33"/>
    </row>
    <row r="811" spans="2:20" ht="15.75" customHeight="1">
      <c r="B811" s="5"/>
      <c r="C811" s="5"/>
      <c r="D811" s="5"/>
      <c r="E811" s="5"/>
      <c r="F811" s="5"/>
      <c r="P811" s="33"/>
      <c r="Q811" s="33"/>
      <c r="R811" s="33"/>
      <c r="S811" s="33"/>
      <c r="T811" s="33"/>
    </row>
    <row r="812" spans="2:20" ht="15.75" customHeight="1">
      <c r="B812" s="5"/>
      <c r="C812" s="5"/>
      <c r="D812" s="5"/>
      <c r="E812" s="5"/>
      <c r="F812" s="5"/>
      <c r="P812" s="33"/>
      <c r="Q812" s="33"/>
      <c r="R812" s="33"/>
      <c r="S812" s="33"/>
      <c r="T812" s="33"/>
    </row>
    <row r="813" spans="2:20" ht="15.75" customHeight="1">
      <c r="B813" s="5"/>
      <c r="C813" s="5"/>
      <c r="D813" s="5"/>
      <c r="E813" s="5"/>
      <c r="F813" s="5"/>
      <c r="P813" s="33"/>
      <c r="Q813" s="33"/>
      <c r="R813" s="33"/>
      <c r="S813" s="33"/>
      <c r="T813" s="33"/>
    </row>
    <row r="814" spans="2:20" ht="15.75" customHeight="1">
      <c r="B814" s="5"/>
      <c r="C814" s="5"/>
      <c r="D814" s="5"/>
      <c r="E814" s="5"/>
      <c r="F814" s="5"/>
      <c r="P814" s="33"/>
      <c r="Q814" s="33"/>
      <c r="R814" s="33"/>
      <c r="S814" s="33"/>
      <c r="T814" s="33"/>
    </row>
    <row r="815" spans="2:20" ht="15.75" customHeight="1">
      <c r="B815" s="5"/>
      <c r="C815" s="5"/>
      <c r="D815" s="5"/>
      <c r="E815" s="5"/>
      <c r="F815" s="5"/>
      <c r="P815" s="33"/>
      <c r="Q815" s="33"/>
      <c r="R815" s="33"/>
      <c r="S815" s="33"/>
      <c r="T815" s="33"/>
    </row>
    <row r="816" spans="2:20" ht="15.75" customHeight="1">
      <c r="B816" s="5"/>
      <c r="C816" s="5"/>
      <c r="D816" s="5"/>
      <c r="E816" s="5"/>
      <c r="F816" s="5"/>
      <c r="P816" s="33"/>
      <c r="Q816" s="33"/>
      <c r="R816" s="33"/>
      <c r="S816" s="33"/>
      <c r="T816" s="33"/>
    </row>
    <row r="817" spans="2:20" ht="15.75" customHeight="1">
      <c r="B817" s="5"/>
      <c r="C817" s="5"/>
      <c r="D817" s="5"/>
      <c r="E817" s="5"/>
      <c r="F817" s="5"/>
      <c r="P817" s="33"/>
      <c r="Q817" s="33"/>
      <c r="R817" s="33"/>
      <c r="S817" s="33"/>
      <c r="T817" s="33"/>
    </row>
    <row r="818" spans="2:20" ht="15.75" customHeight="1">
      <c r="B818" s="5"/>
      <c r="C818" s="5"/>
      <c r="D818" s="5"/>
      <c r="E818" s="5"/>
      <c r="F818" s="5"/>
      <c r="P818" s="33"/>
      <c r="Q818" s="33"/>
      <c r="R818" s="33"/>
      <c r="S818" s="33"/>
      <c r="T818" s="33"/>
    </row>
    <row r="819" spans="2:20" ht="15.75" customHeight="1">
      <c r="B819" s="5"/>
      <c r="C819" s="5"/>
      <c r="D819" s="5"/>
      <c r="E819" s="5"/>
      <c r="F819" s="5"/>
      <c r="P819" s="33"/>
      <c r="Q819" s="33"/>
      <c r="R819" s="33"/>
      <c r="S819" s="33"/>
      <c r="T819" s="33"/>
    </row>
    <row r="820" spans="2:20" ht="15.75" customHeight="1">
      <c r="B820" s="5"/>
      <c r="C820" s="5"/>
      <c r="D820" s="5"/>
      <c r="E820" s="5"/>
      <c r="F820" s="5"/>
      <c r="P820" s="33"/>
      <c r="Q820" s="33"/>
      <c r="R820" s="33"/>
      <c r="S820" s="33"/>
      <c r="T820" s="33"/>
    </row>
    <row r="821" spans="2:20" ht="15.75" customHeight="1">
      <c r="B821" s="5"/>
      <c r="C821" s="5"/>
      <c r="D821" s="5"/>
      <c r="E821" s="5"/>
      <c r="F821" s="5"/>
      <c r="P821" s="33"/>
      <c r="Q821" s="33"/>
      <c r="R821" s="33"/>
      <c r="S821" s="33"/>
      <c r="T821" s="33"/>
    </row>
    <row r="822" spans="2:20" ht="15.75" customHeight="1">
      <c r="B822" s="5"/>
      <c r="C822" s="5"/>
      <c r="D822" s="5"/>
      <c r="E822" s="5"/>
      <c r="F822" s="5"/>
      <c r="P822" s="33"/>
      <c r="Q822" s="33"/>
      <c r="R822" s="33"/>
      <c r="S822" s="33"/>
      <c r="T822" s="33"/>
    </row>
    <row r="823" spans="2:20" ht="15.75" customHeight="1">
      <c r="B823" s="5"/>
      <c r="C823" s="5"/>
      <c r="D823" s="5"/>
      <c r="E823" s="5"/>
      <c r="F823" s="5"/>
      <c r="P823" s="33"/>
      <c r="Q823" s="33"/>
      <c r="R823" s="33"/>
      <c r="S823" s="33"/>
      <c r="T823" s="33"/>
    </row>
    <row r="824" spans="2:20" ht="15.75" customHeight="1">
      <c r="B824" s="5"/>
      <c r="C824" s="5"/>
      <c r="D824" s="5"/>
      <c r="E824" s="5"/>
      <c r="F824" s="5"/>
      <c r="P824" s="33"/>
      <c r="Q824" s="33"/>
      <c r="R824" s="33"/>
      <c r="S824" s="33"/>
      <c r="T824" s="33"/>
    </row>
    <row r="825" spans="2:20" ht="15.75" customHeight="1">
      <c r="B825" s="5"/>
      <c r="C825" s="5"/>
      <c r="D825" s="5"/>
      <c r="E825" s="5"/>
      <c r="F825" s="5"/>
      <c r="P825" s="33"/>
      <c r="Q825" s="33"/>
      <c r="R825" s="33"/>
      <c r="S825" s="33"/>
      <c r="T825" s="33"/>
    </row>
    <row r="826" spans="2:20" ht="15.75" customHeight="1">
      <c r="B826" s="5"/>
      <c r="C826" s="5"/>
      <c r="D826" s="5"/>
      <c r="E826" s="5"/>
      <c r="F826" s="5"/>
      <c r="P826" s="33"/>
      <c r="Q826" s="33"/>
      <c r="R826" s="33"/>
      <c r="S826" s="33"/>
      <c r="T826" s="33"/>
    </row>
    <row r="827" spans="2:20" ht="15.75" customHeight="1">
      <c r="B827" s="5"/>
      <c r="C827" s="5"/>
      <c r="D827" s="5"/>
      <c r="E827" s="5"/>
      <c r="F827" s="5"/>
      <c r="P827" s="33"/>
      <c r="Q827" s="33"/>
      <c r="R827" s="33"/>
      <c r="S827" s="33"/>
      <c r="T827" s="33"/>
    </row>
    <row r="828" spans="2:20" ht="15.75" customHeight="1">
      <c r="B828" s="5"/>
      <c r="C828" s="5"/>
      <c r="D828" s="5"/>
      <c r="E828" s="5"/>
      <c r="F828" s="5"/>
      <c r="P828" s="33"/>
      <c r="Q828" s="33"/>
      <c r="R828" s="33"/>
      <c r="S828" s="33"/>
      <c r="T828" s="33"/>
    </row>
    <row r="829" spans="2:20" ht="15.75" customHeight="1">
      <c r="B829" s="5"/>
      <c r="C829" s="5"/>
      <c r="D829" s="5"/>
      <c r="E829" s="5"/>
      <c r="F829" s="5"/>
      <c r="P829" s="33"/>
      <c r="Q829" s="33"/>
      <c r="R829" s="33"/>
      <c r="S829" s="33"/>
      <c r="T829" s="33"/>
    </row>
    <row r="830" spans="2:20" ht="15.75" customHeight="1">
      <c r="B830" s="5"/>
      <c r="C830" s="5"/>
      <c r="D830" s="5"/>
      <c r="E830" s="5"/>
      <c r="F830" s="5"/>
      <c r="P830" s="33"/>
      <c r="Q830" s="33"/>
      <c r="R830" s="33"/>
      <c r="S830" s="33"/>
      <c r="T830" s="33"/>
    </row>
    <row r="831" spans="2:20" ht="15.75" customHeight="1">
      <c r="B831" s="5"/>
      <c r="C831" s="5"/>
      <c r="D831" s="5"/>
      <c r="E831" s="5"/>
      <c r="F831" s="5"/>
      <c r="P831" s="33"/>
      <c r="Q831" s="33"/>
      <c r="R831" s="33"/>
      <c r="S831" s="33"/>
      <c r="T831" s="33"/>
    </row>
    <row r="832" spans="2:20" ht="15.75" customHeight="1">
      <c r="B832" s="5"/>
      <c r="C832" s="5"/>
      <c r="D832" s="5"/>
      <c r="E832" s="5"/>
      <c r="F832" s="5"/>
      <c r="P832" s="33"/>
      <c r="Q832" s="33"/>
      <c r="R832" s="33"/>
      <c r="S832" s="33"/>
      <c r="T832" s="33"/>
    </row>
    <row r="833" spans="2:20" ht="15.75" customHeight="1">
      <c r="B833" s="5"/>
      <c r="C833" s="5"/>
      <c r="D833" s="5"/>
      <c r="E833" s="5"/>
      <c r="F833" s="5"/>
      <c r="P833" s="33"/>
      <c r="Q833" s="33"/>
      <c r="R833" s="33"/>
      <c r="S833" s="33"/>
      <c r="T833" s="33"/>
    </row>
    <row r="834" spans="2:20" ht="15.75" customHeight="1">
      <c r="B834" s="5"/>
      <c r="C834" s="5"/>
      <c r="D834" s="5"/>
      <c r="E834" s="5"/>
      <c r="F834" s="5"/>
      <c r="P834" s="33"/>
      <c r="Q834" s="33"/>
      <c r="R834" s="33"/>
      <c r="S834" s="33"/>
      <c r="T834" s="33"/>
    </row>
    <row r="835" spans="2:20" ht="15.75" customHeight="1">
      <c r="B835" s="5"/>
      <c r="C835" s="5"/>
      <c r="D835" s="5"/>
      <c r="E835" s="5"/>
      <c r="F835" s="5"/>
      <c r="P835" s="33"/>
      <c r="Q835" s="33"/>
      <c r="R835" s="33"/>
      <c r="S835" s="33"/>
      <c r="T835" s="33"/>
    </row>
    <row r="836" spans="2:20" ht="15.75" customHeight="1">
      <c r="B836" s="5"/>
      <c r="C836" s="5"/>
      <c r="D836" s="5"/>
      <c r="E836" s="5"/>
      <c r="F836" s="5"/>
      <c r="P836" s="33"/>
      <c r="Q836" s="33"/>
      <c r="R836" s="33"/>
      <c r="S836" s="33"/>
      <c r="T836" s="33"/>
    </row>
    <row r="837" spans="2:20" ht="15.75" customHeight="1">
      <c r="B837" s="5"/>
      <c r="C837" s="5"/>
      <c r="D837" s="5"/>
      <c r="E837" s="5"/>
      <c r="F837" s="5"/>
      <c r="P837" s="33"/>
      <c r="Q837" s="33"/>
      <c r="R837" s="33"/>
      <c r="S837" s="33"/>
      <c r="T837" s="33"/>
    </row>
    <row r="838" spans="2:20" ht="15.75" customHeight="1">
      <c r="B838" s="5"/>
      <c r="C838" s="5"/>
      <c r="D838" s="5"/>
      <c r="E838" s="5"/>
      <c r="F838" s="5"/>
      <c r="P838" s="33"/>
      <c r="Q838" s="33"/>
      <c r="R838" s="33"/>
      <c r="S838" s="33"/>
      <c r="T838" s="33"/>
    </row>
    <row r="839" spans="2:20" ht="15.75" customHeight="1">
      <c r="B839" s="5"/>
      <c r="C839" s="5"/>
      <c r="D839" s="5"/>
      <c r="E839" s="5"/>
      <c r="F839" s="5"/>
      <c r="P839" s="33"/>
      <c r="Q839" s="33"/>
      <c r="R839" s="33"/>
      <c r="S839" s="33"/>
      <c r="T839" s="33"/>
    </row>
    <row r="840" spans="2:20" ht="15.75" customHeight="1">
      <c r="B840" s="5"/>
      <c r="C840" s="5"/>
      <c r="D840" s="5"/>
      <c r="E840" s="5"/>
      <c r="F840" s="5"/>
      <c r="P840" s="33"/>
      <c r="Q840" s="33"/>
      <c r="R840" s="33"/>
      <c r="S840" s="33"/>
      <c r="T840" s="33"/>
    </row>
    <row r="841" spans="2:20" ht="15.75" customHeight="1">
      <c r="B841" s="5"/>
      <c r="C841" s="5"/>
      <c r="D841" s="5"/>
      <c r="E841" s="5"/>
      <c r="F841" s="5"/>
      <c r="P841" s="33"/>
      <c r="Q841" s="33"/>
      <c r="R841" s="33"/>
      <c r="S841" s="33"/>
      <c r="T841" s="33"/>
    </row>
    <row r="842" spans="2:20" ht="15.75" customHeight="1">
      <c r="B842" s="5"/>
      <c r="C842" s="5"/>
      <c r="D842" s="5"/>
      <c r="E842" s="5"/>
      <c r="F842" s="5"/>
      <c r="P842" s="33"/>
      <c r="Q842" s="33"/>
      <c r="R842" s="33"/>
      <c r="S842" s="33"/>
      <c r="T842" s="33"/>
    </row>
    <row r="843" spans="2:20" ht="15.75" customHeight="1">
      <c r="B843" s="5"/>
      <c r="C843" s="5"/>
      <c r="D843" s="5"/>
      <c r="E843" s="5"/>
      <c r="F843" s="5"/>
      <c r="P843" s="33"/>
      <c r="Q843" s="33"/>
      <c r="R843" s="33"/>
      <c r="S843" s="33"/>
      <c r="T843" s="33"/>
    </row>
    <row r="844" spans="2:20" ht="15.75" customHeight="1">
      <c r="B844" s="5"/>
      <c r="C844" s="5"/>
      <c r="D844" s="5"/>
      <c r="E844" s="5"/>
      <c r="F844" s="5"/>
      <c r="P844" s="33"/>
      <c r="Q844" s="33"/>
      <c r="R844" s="33"/>
      <c r="S844" s="33"/>
      <c r="T844" s="33"/>
    </row>
    <row r="845" spans="2:20" ht="15.75" customHeight="1">
      <c r="B845" s="5"/>
      <c r="C845" s="5"/>
      <c r="D845" s="5"/>
      <c r="E845" s="5"/>
      <c r="F845" s="5"/>
      <c r="P845" s="33"/>
      <c r="Q845" s="33"/>
      <c r="R845" s="33"/>
      <c r="S845" s="33"/>
      <c r="T845" s="33"/>
    </row>
    <row r="846" spans="2:20" ht="15.75" customHeight="1">
      <c r="B846" s="5"/>
      <c r="C846" s="5"/>
      <c r="D846" s="5"/>
      <c r="E846" s="5"/>
      <c r="F846" s="5"/>
      <c r="P846" s="33"/>
      <c r="Q846" s="33"/>
      <c r="R846" s="33"/>
      <c r="S846" s="33"/>
      <c r="T846" s="33"/>
    </row>
    <row r="847" spans="2:20" ht="15.75" customHeight="1">
      <c r="B847" s="5"/>
      <c r="C847" s="5"/>
      <c r="D847" s="5"/>
      <c r="E847" s="5"/>
      <c r="F847" s="5"/>
      <c r="P847" s="33"/>
      <c r="Q847" s="33"/>
      <c r="R847" s="33"/>
      <c r="S847" s="33"/>
      <c r="T847" s="33"/>
    </row>
    <row r="848" spans="2:20" ht="15.75" customHeight="1">
      <c r="B848" s="5"/>
      <c r="C848" s="5"/>
      <c r="D848" s="5"/>
      <c r="E848" s="5"/>
      <c r="F848" s="5"/>
      <c r="P848" s="33"/>
      <c r="Q848" s="33"/>
      <c r="R848" s="33"/>
      <c r="S848" s="33"/>
      <c r="T848" s="33"/>
    </row>
    <row r="849" spans="2:20" ht="15.75" customHeight="1">
      <c r="B849" s="5"/>
      <c r="C849" s="5"/>
      <c r="D849" s="5"/>
      <c r="E849" s="5"/>
      <c r="F849" s="5"/>
      <c r="P849" s="33"/>
      <c r="Q849" s="33"/>
      <c r="R849" s="33"/>
      <c r="S849" s="33"/>
      <c r="T849" s="33"/>
    </row>
    <row r="850" spans="2:20" ht="15.75" customHeight="1">
      <c r="B850" s="5"/>
      <c r="C850" s="5"/>
      <c r="D850" s="5"/>
      <c r="E850" s="5"/>
      <c r="F850" s="5"/>
      <c r="P850" s="33"/>
      <c r="Q850" s="33"/>
      <c r="R850" s="33"/>
      <c r="S850" s="33"/>
      <c r="T850" s="33"/>
    </row>
    <row r="851" spans="2:20" ht="15.75" customHeight="1">
      <c r="B851" s="5"/>
      <c r="C851" s="5"/>
      <c r="D851" s="5"/>
      <c r="E851" s="5"/>
      <c r="F851" s="5"/>
      <c r="P851" s="33"/>
      <c r="Q851" s="33"/>
      <c r="R851" s="33"/>
      <c r="S851" s="33"/>
      <c r="T851" s="33"/>
    </row>
    <row r="852" spans="2:20" ht="15.75" customHeight="1">
      <c r="B852" s="5"/>
      <c r="C852" s="5"/>
      <c r="D852" s="5"/>
      <c r="E852" s="5"/>
      <c r="F852" s="5"/>
      <c r="P852" s="33"/>
      <c r="Q852" s="33"/>
      <c r="R852" s="33"/>
      <c r="S852" s="33"/>
      <c r="T852" s="33"/>
    </row>
    <row r="853" spans="2:20" ht="15.75" customHeight="1">
      <c r="B853" s="5"/>
      <c r="C853" s="5"/>
      <c r="D853" s="5"/>
      <c r="E853" s="5"/>
      <c r="F853" s="5"/>
      <c r="P853" s="33"/>
      <c r="Q853" s="33"/>
      <c r="R853" s="33"/>
      <c r="S853" s="33"/>
      <c r="T853" s="33"/>
    </row>
    <row r="854" spans="2:20" ht="15.75" customHeight="1">
      <c r="B854" s="5"/>
      <c r="C854" s="5"/>
      <c r="D854" s="5"/>
      <c r="E854" s="5"/>
      <c r="F854" s="5"/>
      <c r="P854" s="33"/>
      <c r="Q854" s="33"/>
      <c r="R854" s="33"/>
      <c r="S854" s="33"/>
      <c r="T854" s="33"/>
    </row>
    <row r="855" spans="2:20" ht="15.75" customHeight="1">
      <c r="B855" s="5"/>
      <c r="C855" s="5"/>
      <c r="D855" s="5"/>
      <c r="E855" s="5"/>
      <c r="F855" s="5"/>
      <c r="P855" s="33"/>
      <c r="Q855" s="33"/>
      <c r="R855" s="33"/>
      <c r="S855" s="33"/>
      <c r="T855" s="33"/>
    </row>
    <row r="856" spans="2:20" ht="15.75" customHeight="1">
      <c r="B856" s="5"/>
      <c r="C856" s="5"/>
      <c r="D856" s="5"/>
      <c r="E856" s="5"/>
      <c r="F856" s="5"/>
      <c r="P856" s="33"/>
      <c r="Q856" s="33"/>
      <c r="R856" s="33"/>
      <c r="S856" s="33"/>
      <c r="T856" s="33"/>
    </row>
    <row r="857" spans="2:20" ht="15.75" customHeight="1">
      <c r="B857" s="5"/>
      <c r="C857" s="5"/>
      <c r="D857" s="5"/>
      <c r="E857" s="5"/>
      <c r="F857" s="5"/>
      <c r="P857" s="33"/>
      <c r="Q857" s="33"/>
      <c r="R857" s="33"/>
      <c r="S857" s="33"/>
      <c r="T857" s="33"/>
    </row>
    <row r="858" spans="2:20" ht="15.75" customHeight="1">
      <c r="B858" s="5"/>
      <c r="C858" s="5"/>
      <c r="D858" s="5"/>
      <c r="E858" s="5"/>
      <c r="F858" s="5"/>
      <c r="P858" s="33"/>
      <c r="Q858" s="33"/>
      <c r="R858" s="33"/>
      <c r="S858" s="33"/>
      <c r="T858" s="33"/>
    </row>
    <row r="859" spans="2:20" ht="15.75" customHeight="1">
      <c r="B859" s="5"/>
      <c r="C859" s="5"/>
      <c r="D859" s="5"/>
      <c r="E859" s="5"/>
      <c r="F859" s="5"/>
      <c r="P859" s="33"/>
      <c r="Q859" s="33"/>
      <c r="R859" s="33"/>
      <c r="S859" s="33"/>
      <c r="T859" s="33"/>
    </row>
    <row r="860" spans="2:20" ht="15.75" customHeight="1">
      <c r="B860" s="5"/>
      <c r="C860" s="5"/>
      <c r="D860" s="5"/>
      <c r="E860" s="5"/>
      <c r="F860" s="5"/>
      <c r="P860" s="33"/>
      <c r="Q860" s="33"/>
      <c r="R860" s="33"/>
      <c r="S860" s="33"/>
      <c r="T860" s="33"/>
    </row>
    <row r="861" spans="2:20" ht="15.75" customHeight="1">
      <c r="B861" s="5"/>
      <c r="C861" s="5"/>
      <c r="D861" s="5"/>
      <c r="E861" s="5"/>
      <c r="F861" s="5"/>
      <c r="P861" s="33"/>
      <c r="Q861" s="33"/>
      <c r="R861" s="33"/>
      <c r="S861" s="33"/>
      <c r="T861" s="33"/>
    </row>
    <row r="862" spans="2:20" ht="15.75" customHeight="1">
      <c r="B862" s="5"/>
      <c r="C862" s="5"/>
      <c r="D862" s="5"/>
      <c r="E862" s="5"/>
      <c r="F862" s="5"/>
      <c r="P862" s="33"/>
      <c r="Q862" s="33"/>
      <c r="R862" s="33"/>
      <c r="S862" s="33"/>
      <c r="T862" s="33"/>
    </row>
    <row r="863" spans="2:20" ht="15.75" customHeight="1">
      <c r="B863" s="5"/>
      <c r="C863" s="5"/>
      <c r="D863" s="5"/>
      <c r="E863" s="5"/>
      <c r="F863" s="5"/>
      <c r="P863" s="33"/>
      <c r="Q863" s="33"/>
      <c r="R863" s="33"/>
      <c r="S863" s="33"/>
      <c r="T863" s="33"/>
    </row>
    <row r="864" spans="2:20" ht="15.75" customHeight="1">
      <c r="B864" s="5"/>
      <c r="C864" s="5"/>
      <c r="D864" s="5"/>
      <c r="E864" s="5"/>
      <c r="F864" s="5"/>
      <c r="P864" s="33"/>
      <c r="Q864" s="33"/>
      <c r="R864" s="33"/>
      <c r="S864" s="33"/>
      <c r="T864" s="33"/>
    </row>
    <row r="865" spans="2:20" ht="15.75" customHeight="1">
      <c r="B865" s="5"/>
      <c r="C865" s="5"/>
      <c r="D865" s="5"/>
      <c r="E865" s="5"/>
      <c r="F865" s="5"/>
      <c r="P865" s="33"/>
      <c r="Q865" s="33"/>
      <c r="R865" s="33"/>
      <c r="S865" s="33"/>
      <c r="T865" s="33"/>
    </row>
    <row r="866" spans="2:20" ht="15.75" customHeight="1">
      <c r="B866" s="5"/>
      <c r="C866" s="5"/>
      <c r="D866" s="5"/>
      <c r="E866" s="5"/>
      <c r="F866" s="5"/>
      <c r="P866" s="33"/>
      <c r="Q866" s="33"/>
      <c r="R866" s="33"/>
      <c r="S866" s="33"/>
      <c r="T866" s="33"/>
    </row>
    <row r="867" spans="2:20" ht="15.75" customHeight="1">
      <c r="B867" s="5"/>
      <c r="C867" s="5"/>
      <c r="D867" s="5"/>
      <c r="E867" s="5"/>
      <c r="F867" s="5"/>
      <c r="P867" s="33"/>
      <c r="Q867" s="33"/>
      <c r="R867" s="33"/>
      <c r="S867" s="33"/>
      <c r="T867" s="33"/>
    </row>
    <row r="868" spans="2:20" ht="15.75" customHeight="1">
      <c r="B868" s="5"/>
      <c r="C868" s="5"/>
      <c r="D868" s="5"/>
      <c r="E868" s="5"/>
      <c r="F868" s="5"/>
      <c r="P868" s="33"/>
      <c r="Q868" s="33"/>
      <c r="R868" s="33"/>
      <c r="S868" s="33"/>
      <c r="T868" s="33"/>
    </row>
    <row r="869" spans="2:20" ht="15.75" customHeight="1">
      <c r="B869" s="5"/>
      <c r="C869" s="5"/>
      <c r="D869" s="5"/>
      <c r="E869" s="5"/>
      <c r="F869" s="5"/>
      <c r="P869" s="33"/>
      <c r="Q869" s="33"/>
      <c r="R869" s="33"/>
      <c r="S869" s="33"/>
      <c r="T869" s="33"/>
    </row>
    <row r="870" spans="2:20" ht="15.75" customHeight="1">
      <c r="B870" s="5"/>
      <c r="C870" s="5"/>
      <c r="D870" s="5"/>
      <c r="E870" s="5"/>
      <c r="F870" s="5"/>
      <c r="P870" s="33"/>
      <c r="Q870" s="33"/>
      <c r="R870" s="33"/>
      <c r="S870" s="33"/>
      <c r="T870" s="33"/>
    </row>
    <row r="871" spans="2:20" ht="15.75" customHeight="1">
      <c r="B871" s="5"/>
      <c r="C871" s="5"/>
      <c r="D871" s="5"/>
      <c r="E871" s="5"/>
      <c r="F871" s="5"/>
      <c r="P871" s="33"/>
      <c r="Q871" s="33"/>
      <c r="R871" s="33"/>
      <c r="S871" s="33"/>
      <c r="T871" s="33"/>
    </row>
    <row r="872" spans="2:20" ht="15.75" customHeight="1">
      <c r="B872" s="5"/>
      <c r="C872" s="5"/>
      <c r="D872" s="5"/>
      <c r="E872" s="5"/>
      <c r="F872" s="5"/>
      <c r="P872" s="33"/>
      <c r="Q872" s="33"/>
      <c r="R872" s="33"/>
      <c r="S872" s="33"/>
      <c r="T872" s="33"/>
    </row>
    <row r="873" spans="2:20" ht="15.75" customHeight="1">
      <c r="B873" s="5"/>
      <c r="C873" s="5"/>
      <c r="D873" s="5"/>
      <c r="E873" s="5"/>
      <c r="F873" s="5"/>
      <c r="P873" s="33"/>
      <c r="Q873" s="33"/>
      <c r="R873" s="33"/>
      <c r="S873" s="33"/>
      <c r="T873" s="33"/>
    </row>
    <row r="874" spans="2:20" ht="15.75" customHeight="1">
      <c r="B874" s="5"/>
      <c r="C874" s="5"/>
      <c r="D874" s="5"/>
      <c r="E874" s="5"/>
      <c r="F874" s="5"/>
      <c r="P874" s="33"/>
      <c r="Q874" s="33"/>
      <c r="R874" s="33"/>
      <c r="S874" s="33"/>
      <c r="T874" s="33"/>
    </row>
    <row r="875" spans="2:20" ht="15.75" customHeight="1">
      <c r="B875" s="5"/>
      <c r="C875" s="5"/>
      <c r="D875" s="5"/>
      <c r="E875" s="5"/>
      <c r="F875" s="5"/>
      <c r="P875" s="33"/>
      <c r="Q875" s="33"/>
      <c r="R875" s="33"/>
      <c r="S875" s="33"/>
      <c r="T875" s="33"/>
    </row>
    <row r="876" spans="2:20" ht="15.75" customHeight="1">
      <c r="B876" s="5"/>
      <c r="C876" s="5"/>
      <c r="D876" s="5"/>
      <c r="E876" s="5"/>
      <c r="F876" s="5"/>
      <c r="P876" s="33"/>
      <c r="Q876" s="33"/>
      <c r="R876" s="33"/>
      <c r="S876" s="33"/>
      <c r="T876" s="33"/>
    </row>
    <row r="877" spans="2:20" ht="15.75" customHeight="1">
      <c r="B877" s="5"/>
      <c r="C877" s="5"/>
      <c r="D877" s="5"/>
      <c r="E877" s="5"/>
      <c r="F877" s="5"/>
      <c r="P877" s="33"/>
      <c r="Q877" s="33"/>
      <c r="R877" s="33"/>
      <c r="S877" s="33"/>
      <c r="T877" s="33"/>
    </row>
    <row r="878" spans="2:20" ht="15.75" customHeight="1">
      <c r="B878" s="5"/>
      <c r="C878" s="5"/>
      <c r="D878" s="5"/>
      <c r="E878" s="5"/>
      <c r="F878" s="5"/>
      <c r="P878" s="33"/>
      <c r="Q878" s="33"/>
      <c r="R878" s="33"/>
      <c r="S878" s="33"/>
      <c r="T878" s="33"/>
    </row>
    <row r="879" spans="2:20" ht="15.75" customHeight="1">
      <c r="B879" s="5"/>
      <c r="C879" s="5"/>
      <c r="D879" s="5"/>
      <c r="E879" s="5"/>
      <c r="F879" s="5"/>
      <c r="P879" s="33"/>
      <c r="Q879" s="33"/>
      <c r="R879" s="33"/>
      <c r="S879" s="33"/>
      <c r="T879" s="33"/>
    </row>
    <row r="880" spans="2:20" ht="15.75" customHeight="1">
      <c r="B880" s="5"/>
      <c r="C880" s="5"/>
      <c r="D880" s="5"/>
      <c r="E880" s="5"/>
      <c r="F880" s="5"/>
      <c r="P880" s="33"/>
      <c r="Q880" s="33"/>
      <c r="R880" s="33"/>
      <c r="S880" s="33"/>
      <c r="T880" s="33"/>
    </row>
    <row r="881" spans="2:20" ht="15.75" customHeight="1">
      <c r="B881" s="5"/>
      <c r="C881" s="5"/>
      <c r="D881" s="5"/>
      <c r="E881" s="5"/>
      <c r="F881" s="5"/>
      <c r="P881" s="33"/>
      <c r="Q881" s="33"/>
      <c r="R881" s="33"/>
      <c r="S881" s="33"/>
      <c r="T881" s="33"/>
    </row>
    <row r="882" spans="2:20" ht="15.75" customHeight="1">
      <c r="B882" s="5"/>
      <c r="C882" s="5"/>
      <c r="D882" s="5"/>
      <c r="E882" s="5"/>
      <c r="F882" s="5"/>
      <c r="P882" s="33"/>
      <c r="Q882" s="33"/>
      <c r="R882" s="33"/>
      <c r="S882" s="33"/>
      <c r="T882" s="33"/>
    </row>
    <row r="883" spans="2:20" ht="15.75" customHeight="1">
      <c r="B883" s="5"/>
      <c r="C883" s="5"/>
      <c r="D883" s="5"/>
      <c r="E883" s="5"/>
      <c r="F883" s="5"/>
      <c r="P883" s="33"/>
      <c r="Q883" s="33"/>
      <c r="R883" s="33"/>
      <c r="S883" s="33"/>
      <c r="T883" s="33"/>
    </row>
    <row r="884" spans="2:20" ht="15.75" customHeight="1">
      <c r="B884" s="5"/>
      <c r="C884" s="5"/>
      <c r="D884" s="5"/>
      <c r="E884" s="5"/>
      <c r="F884" s="5"/>
      <c r="P884" s="33"/>
      <c r="Q884" s="33"/>
      <c r="R884" s="33"/>
      <c r="S884" s="33"/>
      <c r="T884" s="33"/>
    </row>
    <row r="885" spans="2:20" ht="15.75" customHeight="1">
      <c r="B885" s="5"/>
      <c r="C885" s="5"/>
      <c r="D885" s="5"/>
      <c r="E885" s="5"/>
      <c r="F885" s="5"/>
      <c r="P885" s="33"/>
      <c r="Q885" s="33"/>
      <c r="R885" s="33"/>
      <c r="S885" s="33"/>
      <c r="T885" s="33"/>
    </row>
    <row r="886" spans="2:20" ht="15.75" customHeight="1">
      <c r="B886" s="5"/>
      <c r="C886" s="5"/>
      <c r="D886" s="5"/>
      <c r="E886" s="5"/>
      <c r="F886" s="5"/>
      <c r="P886" s="33"/>
      <c r="Q886" s="33"/>
      <c r="R886" s="33"/>
      <c r="S886" s="33"/>
      <c r="T886" s="33"/>
    </row>
    <row r="887" spans="2:20" ht="15.75" customHeight="1">
      <c r="B887" s="5"/>
      <c r="C887" s="5"/>
      <c r="D887" s="5"/>
      <c r="E887" s="5"/>
      <c r="F887" s="5"/>
      <c r="P887" s="33"/>
      <c r="Q887" s="33"/>
      <c r="R887" s="33"/>
      <c r="S887" s="33"/>
      <c r="T887" s="33"/>
    </row>
    <row r="888" spans="2:20" ht="15.75" customHeight="1">
      <c r="B888" s="5"/>
      <c r="C888" s="5"/>
      <c r="D888" s="5"/>
      <c r="E888" s="5"/>
      <c r="F888" s="5"/>
      <c r="P888" s="33"/>
      <c r="Q888" s="33"/>
      <c r="R888" s="33"/>
      <c r="S888" s="33"/>
      <c r="T888" s="33"/>
    </row>
    <row r="889" spans="2:20" ht="15.75" customHeight="1">
      <c r="B889" s="5"/>
      <c r="C889" s="5"/>
      <c r="D889" s="5"/>
      <c r="E889" s="5"/>
      <c r="F889" s="5"/>
      <c r="P889" s="33"/>
      <c r="Q889" s="33"/>
      <c r="R889" s="33"/>
      <c r="S889" s="33"/>
      <c r="T889" s="33"/>
    </row>
    <row r="890" spans="2:20" ht="15.75" customHeight="1">
      <c r="B890" s="5"/>
      <c r="C890" s="5"/>
      <c r="D890" s="5"/>
      <c r="E890" s="5"/>
      <c r="F890" s="5"/>
      <c r="P890" s="33"/>
      <c r="Q890" s="33"/>
      <c r="R890" s="33"/>
      <c r="S890" s="33"/>
      <c r="T890" s="33"/>
    </row>
    <row r="891" spans="2:20" ht="15.75" customHeight="1">
      <c r="B891" s="5"/>
      <c r="C891" s="5"/>
      <c r="D891" s="5"/>
      <c r="E891" s="5"/>
      <c r="F891" s="5"/>
      <c r="P891" s="33"/>
      <c r="Q891" s="33"/>
      <c r="R891" s="33"/>
      <c r="S891" s="33"/>
      <c r="T891" s="33"/>
    </row>
    <row r="892" spans="2:20" ht="15.75" customHeight="1">
      <c r="B892" s="5"/>
      <c r="C892" s="5"/>
      <c r="D892" s="5"/>
      <c r="E892" s="5"/>
      <c r="F892" s="5"/>
      <c r="P892" s="33"/>
      <c r="Q892" s="33"/>
      <c r="R892" s="33"/>
      <c r="S892" s="33"/>
      <c r="T892" s="33"/>
    </row>
    <row r="893" spans="2:20" ht="15.75" customHeight="1">
      <c r="B893" s="5"/>
      <c r="C893" s="5"/>
      <c r="D893" s="5"/>
      <c r="E893" s="5"/>
      <c r="F893" s="5"/>
      <c r="P893" s="33"/>
      <c r="Q893" s="33"/>
      <c r="R893" s="33"/>
      <c r="S893" s="33"/>
      <c r="T893" s="33"/>
    </row>
    <row r="894" spans="2:20" ht="15.75" customHeight="1">
      <c r="B894" s="5"/>
      <c r="C894" s="5"/>
      <c r="D894" s="5"/>
      <c r="E894" s="5"/>
      <c r="F894" s="5"/>
      <c r="P894" s="33"/>
      <c r="Q894" s="33"/>
      <c r="R894" s="33"/>
      <c r="S894" s="33"/>
      <c r="T894" s="33"/>
    </row>
    <row r="895" spans="2:20" ht="15.75" customHeight="1">
      <c r="B895" s="5"/>
      <c r="C895" s="5"/>
      <c r="D895" s="5"/>
      <c r="E895" s="5"/>
      <c r="F895" s="5"/>
      <c r="P895" s="33"/>
      <c r="Q895" s="33"/>
      <c r="R895" s="33"/>
      <c r="S895" s="33"/>
      <c r="T895" s="33"/>
    </row>
    <row r="896" spans="2:20" ht="15.75" customHeight="1">
      <c r="B896" s="5"/>
      <c r="C896" s="5"/>
      <c r="D896" s="5"/>
      <c r="E896" s="5"/>
      <c r="F896" s="5"/>
      <c r="P896" s="33"/>
      <c r="Q896" s="33"/>
      <c r="R896" s="33"/>
      <c r="S896" s="33"/>
      <c r="T896" s="33"/>
    </row>
    <row r="897" spans="2:20" ht="15.75" customHeight="1">
      <c r="B897" s="5"/>
      <c r="C897" s="5"/>
      <c r="D897" s="5"/>
      <c r="E897" s="5"/>
      <c r="F897" s="5"/>
      <c r="P897" s="33"/>
      <c r="Q897" s="33"/>
      <c r="R897" s="33"/>
      <c r="S897" s="33"/>
      <c r="T897" s="33"/>
    </row>
    <row r="898" spans="2:20" ht="15.75" customHeight="1">
      <c r="B898" s="5"/>
      <c r="C898" s="5"/>
      <c r="D898" s="5"/>
      <c r="E898" s="5"/>
      <c r="F898" s="5"/>
      <c r="P898" s="33"/>
      <c r="Q898" s="33"/>
      <c r="R898" s="33"/>
      <c r="S898" s="33"/>
      <c r="T898" s="33"/>
    </row>
    <row r="899" spans="2:20" ht="15.75" customHeight="1">
      <c r="B899" s="5"/>
      <c r="C899" s="5"/>
      <c r="D899" s="5"/>
      <c r="E899" s="5"/>
      <c r="F899" s="5"/>
      <c r="P899" s="33"/>
      <c r="Q899" s="33"/>
      <c r="R899" s="33"/>
      <c r="S899" s="33"/>
      <c r="T899" s="33"/>
    </row>
    <row r="900" spans="2:20" ht="15.75" customHeight="1">
      <c r="B900" s="5"/>
      <c r="C900" s="5"/>
      <c r="D900" s="5"/>
      <c r="E900" s="5"/>
      <c r="F900" s="5"/>
      <c r="P900" s="33"/>
      <c r="Q900" s="33"/>
      <c r="R900" s="33"/>
      <c r="S900" s="33"/>
      <c r="T900" s="33"/>
    </row>
    <row r="901" spans="2:20" ht="15.75" customHeight="1">
      <c r="B901" s="5"/>
      <c r="C901" s="5"/>
      <c r="D901" s="5"/>
      <c r="E901" s="5"/>
      <c r="F901" s="5"/>
      <c r="P901" s="33"/>
      <c r="Q901" s="33"/>
      <c r="R901" s="33"/>
      <c r="S901" s="33"/>
      <c r="T901" s="33"/>
    </row>
    <row r="902" spans="2:20" ht="15.75" customHeight="1">
      <c r="B902" s="5"/>
      <c r="C902" s="5"/>
      <c r="D902" s="5"/>
      <c r="E902" s="5"/>
      <c r="F902" s="5"/>
      <c r="P902" s="33"/>
      <c r="Q902" s="33"/>
      <c r="R902" s="33"/>
      <c r="S902" s="33"/>
      <c r="T902" s="33"/>
    </row>
    <row r="903" spans="2:20" ht="15.75" customHeight="1">
      <c r="B903" s="5"/>
      <c r="C903" s="5"/>
      <c r="D903" s="5"/>
      <c r="E903" s="5"/>
      <c r="F903" s="5"/>
      <c r="P903" s="33"/>
      <c r="Q903" s="33"/>
      <c r="R903" s="33"/>
      <c r="S903" s="33"/>
      <c r="T903" s="33"/>
    </row>
    <row r="904" spans="2:20" ht="15.75" customHeight="1">
      <c r="B904" s="5"/>
      <c r="C904" s="5"/>
      <c r="D904" s="5"/>
      <c r="E904" s="5"/>
      <c r="F904" s="5"/>
      <c r="P904" s="33"/>
      <c r="Q904" s="33"/>
      <c r="R904" s="33"/>
      <c r="S904" s="33"/>
      <c r="T904" s="33"/>
    </row>
    <row r="905" spans="2:20" ht="15.75" customHeight="1">
      <c r="B905" s="5"/>
      <c r="C905" s="5"/>
      <c r="D905" s="5"/>
      <c r="E905" s="5"/>
      <c r="F905" s="5"/>
      <c r="P905" s="33"/>
      <c r="Q905" s="33"/>
      <c r="R905" s="33"/>
      <c r="S905" s="33"/>
      <c r="T905" s="33"/>
    </row>
    <row r="906" spans="2:20" ht="15.75" customHeight="1">
      <c r="B906" s="5"/>
      <c r="C906" s="5"/>
      <c r="D906" s="5"/>
      <c r="E906" s="5"/>
      <c r="F906" s="5"/>
      <c r="P906" s="33"/>
      <c r="Q906" s="33"/>
      <c r="R906" s="33"/>
      <c r="S906" s="33"/>
      <c r="T906" s="33"/>
    </row>
    <row r="907" spans="2:20" ht="15.75" customHeight="1">
      <c r="B907" s="5"/>
      <c r="C907" s="5"/>
      <c r="D907" s="5"/>
      <c r="E907" s="5"/>
      <c r="F907" s="5"/>
      <c r="P907" s="33"/>
      <c r="Q907" s="33"/>
      <c r="R907" s="33"/>
      <c r="S907" s="33"/>
      <c r="T907" s="33"/>
    </row>
    <row r="908" spans="2:20" ht="15.75" customHeight="1">
      <c r="B908" s="5"/>
      <c r="C908" s="5"/>
      <c r="D908" s="5"/>
      <c r="E908" s="5"/>
      <c r="F908" s="5"/>
      <c r="P908" s="33"/>
      <c r="Q908" s="33"/>
      <c r="R908" s="33"/>
      <c r="S908" s="33"/>
      <c r="T908" s="33"/>
    </row>
    <row r="909" spans="2:20" ht="15.75" customHeight="1">
      <c r="B909" s="5"/>
      <c r="C909" s="5"/>
      <c r="D909" s="5"/>
      <c r="E909" s="5"/>
      <c r="F909" s="5"/>
      <c r="P909" s="33"/>
      <c r="Q909" s="33"/>
      <c r="R909" s="33"/>
      <c r="S909" s="33"/>
      <c r="T909" s="33"/>
    </row>
    <row r="910" spans="2:20" ht="15.75" customHeight="1">
      <c r="B910" s="5"/>
      <c r="C910" s="5"/>
      <c r="D910" s="5"/>
      <c r="E910" s="5"/>
      <c r="F910" s="5"/>
      <c r="P910" s="33"/>
      <c r="Q910" s="33"/>
      <c r="R910" s="33"/>
      <c r="S910" s="33"/>
      <c r="T910" s="33"/>
    </row>
    <row r="911" spans="2:20" ht="15.75" customHeight="1">
      <c r="B911" s="5"/>
      <c r="C911" s="5"/>
      <c r="D911" s="5"/>
      <c r="E911" s="5"/>
      <c r="F911" s="5"/>
      <c r="P911" s="33"/>
      <c r="Q911" s="33"/>
      <c r="R911" s="33"/>
      <c r="S911" s="33"/>
      <c r="T911" s="33"/>
    </row>
    <row r="912" spans="2:20" ht="15.75" customHeight="1">
      <c r="B912" s="5"/>
      <c r="C912" s="5"/>
      <c r="D912" s="5"/>
      <c r="E912" s="5"/>
      <c r="F912" s="5"/>
      <c r="P912" s="33"/>
      <c r="Q912" s="33"/>
      <c r="R912" s="33"/>
      <c r="S912" s="33"/>
      <c r="T912" s="33"/>
    </row>
    <row r="913" spans="2:20" ht="15.75" customHeight="1">
      <c r="B913" s="5"/>
      <c r="C913" s="5"/>
      <c r="D913" s="5"/>
      <c r="E913" s="5"/>
      <c r="F913" s="5"/>
      <c r="P913" s="33"/>
      <c r="Q913" s="33"/>
      <c r="R913" s="33"/>
      <c r="S913" s="33"/>
      <c r="T913" s="33"/>
    </row>
    <row r="914" spans="2:20" ht="15.75" customHeight="1">
      <c r="B914" s="5"/>
      <c r="C914" s="5"/>
      <c r="D914" s="5"/>
      <c r="E914" s="5"/>
      <c r="F914" s="5"/>
      <c r="P914" s="33"/>
      <c r="Q914" s="33"/>
      <c r="R914" s="33"/>
      <c r="S914" s="33"/>
      <c r="T914" s="33"/>
    </row>
    <row r="915" spans="2:20" ht="15.75" customHeight="1">
      <c r="B915" s="5"/>
      <c r="C915" s="5"/>
      <c r="D915" s="5"/>
      <c r="E915" s="5"/>
      <c r="F915" s="5"/>
      <c r="P915" s="33"/>
      <c r="Q915" s="33"/>
      <c r="R915" s="33"/>
      <c r="S915" s="33"/>
      <c r="T915" s="33"/>
    </row>
    <row r="916" spans="2:20" ht="15.75" customHeight="1">
      <c r="B916" s="5"/>
      <c r="C916" s="5"/>
      <c r="D916" s="5"/>
      <c r="E916" s="5"/>
      <c r="F916" s="5"/>
      <c r="P916" s="33"/>
      <c r="Q916" s="33"/>
      <c r="R916" s="33"/>
      <c r="S916" s="33"/>
      <c r="T916" s="33"/>
    </row>
    <row r="917" spans="2:20" ht="15.75" customHeight="1">
      <c r="B917" s="5"/>
      <c r="C917" s="5"/>
      <c r="D917" s="5"/>
      <c r="E917" s="5"/>
      <c r="F917" s="5"/>
      <c r="P917" s="33"/>
      <c r="Q917" s="33"/>
      <c r="R917" s="33"/>
      <c r="S917" s="33"/>
      <c r="T917" s="33"/>
    </row>
    <row r="918" spans="2:20" ht="15.75" customHeight="1">
      <c r="B918" s="5"/>
      <c r="C918" s="5"/>
      <c r="D918" s="5"/>
      <c r="E918" s="5"/>
      <c r="F918" s="5"/>
      <c r="P918" s="33"/>
      <c r="Q918" s="33"/>
      <c r="R918" s="33"/>
      <c r="S918" s="33"/>
      <c r="T918" s="33"/>
    </row>
    <row r="919" spans="2:20" ht="15.75" customHeight="1">
      <c r="B919" s="5"/>
      <c r="C919" s="5"/>
      <c r="D919" s="5"/>
      <c r="E919" s="5"/>
      <c r="F919" s="5"/>
      <c r="P919" s="33"/>
      <c r="Q919" s="33"/>
      <c r="R919" s="33"/>
      <c r="S919" s="33"/>
      <c r="T919" s="33"/>
    </row>
    <row r="920" spans="2:20" ht="15.75" customHeight="1">
      <c r="B920" s="5"/>
      <c r="C920" s="5"/>
      <c r="D920" s="5"/>
      <c r="E920" s="5"/>
      <c r="F920" s="5"/>
      <c r="P920" s="33"/>
      <c r="Q920" s="33"/>
      <c r="R920" s="33"/>
      <c r="S920" s="33"/>
      <c r="T920" s="33"/>
    </row>
    <row r="921" spans="2:20" ht="15.75" customHeight="1">
      <c r="B921" s="5"/>
      <c r="C921" s="5"/>
      <c r="D921" s="5"/>
      <c r="E921" s="5"/>
      <c r="F921" s="5"/>
      <c r="P921" s="33"/>
      <c r="Q921" s="33"/>
      <c r="R921" s="33"/>
      <c r="S921" s="33"/>
      <c r="T921" s="33"/>
    </row>
    <row r="922" spans="2:20" ht="15.75" customHeight="1">
      <c r="B922" s="5"/>
      <c r="C922" s="5"/>
      <c r="D922" s="5"/>
      <c r="E922" s="5"/>
      <c r="F922" s="5"/>
      <c r="P922" s="33"/>
      <c r="Q922" s="33"/>
      <c r="R922" s="33"/>
      <c r="S922" s="33"/>
      <c r="T922" s="33"/>
    </row>
    <row r="923" spans="2:20" ht="15.75" customHeight="1">
      <c r="B923" s="5"/>
      <c r="C923" s="5"/>
      <c r="D923" s="5"/>
      <c r="E923" s="5"/>
      <c r="F923" s="5"/>
      <c r="P923" s="33"/>
      <c r="Q923" s="33"/>
      <c r="R923" s="33"/>
      <c r="S923" s="33"/>
      <c r="T923" s="33"/>
    </row>
    <row r="924" spans="2:20" ht="15.75" customHeight="1">
      <c r="B924" s="5"/>
      <c r="C924" s="5"/>
      <c r="D924" s="5"/>
      <c r="E924" s="5"/>
      <c r="F924" s="5"/>
      <c r="P924" s="33"/>
      <c r="Q924" s="33"/>
      <c r="R924" s="33"/>
      <c r="S924" s="33"/>
      <c r="T924" s="33"/>
    </row>
    <row r="925" spans="2:20" ht="15.75" customHeight="1">
      <c r="B925" s="5"/>
      <c r="C925" s="5"/>
      <c r="D925" s="5"/>
      <c r="E925" s="5"/>
      <c r="F925" s="5"/>
      <c r="P925" s="33"/>
      <c r="Q925" s="33"/>
      <c r="R925" s="33"/>
      <c r="S925" s="33"/>
      <c r="T925" s="33"/>
    </row>
    <row r="926" spans="2:20" ht="15.75" customHeight="1">
      <c r="B926" s="5"/>
      <c r="C926" s="5"/>
      <c r="D926" s="5"/>
      <c r="E926" s="5"/>
      <c r="F926" s="5"/>
      <c r="P926" s="33"/>
      <c r="Q926" s="33"/>
      <c r="R926" s="33"/>
      <c r="S926" s="33"/>
      <c r="T926" s="33"/>
    </row>
    <row r="927" spans="2:20" ht="15.75" customHeight="1">
      <c r="B927" s="5"/>
      <c r="C927" s="5"/>
      <c r="D927" s="5"/>
      <c r="E927" s="5"/>
      <c r="F927" s="5"/>
      <c r="P927" s="33"/>
      <c r="Q927" s="33"/>
      <c r="R927" s="33"/>
      <c r="S927" s="33"/>
      <c r="T927" s="33"/>
    </row>
    <row r="928" spans="2:20" ht="15.75" customHeight="1">
      <c r="B928" s="5"/>
      <c r="C928" s="5"/>
      <c r="D928" s="5"/>
      <c r="E928" s="5"/>
      <c r="F928" s="5"/>
      <c r="P928" s="33"/>
      <c r="Q928" s="33"/>
      <c r="R928" s="33"/>
      <c r="S928" s="33"/>
      <c r="T928" s="33"/>
    </row>
    <row r="929" spans="2:20" ht="15.75" customHeight="1">
      <c r="B929" s="5"/>
      <c r="C929" s="5"/>
      <c r="D929" s="5"/>
      <c r="E929" s="5"/>
      <c r="F929" s="5"/>
      <c r="P929" s="33"/>
      <c r="Q929" s="33"/>
      <c r="R929" s="33"/>
      <c r="S929" s="33"/>
      <c r="T929" s="33"/>
    </row>
    <row r="930" spans="2:20" ht="15.75" customHeight="1">
      <c r="B930" s="5"/>
      <c r="C930" s="5"/>
      <c r="D930" s="5"/>
      <c r="E930" s="5"/>
      <c r="F930" s="5"/>
      <c r="P930" s="33"/>
      <c r="Q930" s="33"/>
      <c r="R930" s="33"/>
      <c r="S930" s="33"/>
      <c r="T930" s="33"/>
    </row>
    <row r="931" spans="2:20" ht="15.75" customHeight="1">
      <c r="B931" s="5"/>
      <c r="C931" s="5"/>
      <c r="D931" s="5"/>
      <c r="E931" s="5"/>
      <c r="F931" s="5"/>
      <c r="P931" s="33"/>
      <c r="Q931" s="33"/>
      <c r="R931" s="33"/>
      <c r="S931" s="33"/>
      <c r="T931" s="33"/>
    </row>
    <row r="932" spans="2:20" ht="15.75" customHeight="1">
      <c r="B932" s="5"/>
      <c r="C932" s="5"/>
      <c r="D932" s="5"/>
      <c r="E932" s="5"/>
      <c r="F932" s="5"/>
      <c r="P932" s="33"/>
      <c r="Q932" s="33"/>
      <c r="R932" s="33"/>
      <c r="S932" s="33"/>
      <c r="T932" s="33"/>
    </row>
    <row r="933" spans="2:20" ht="15.75" customHeight="1">
      <c r="B933" s="5"/>
      <c r="C933" s="5"/>
      <c r="D933" s="5"/>
      <c r="E933" s="5"/>
      <c r="F933" s="5"/>
      <c r="P933" s="33"/>
      <c r="Q933" s="33"/>
      <c r="R933" s="33"/>
      <c r="S933" s="33"/>
      <c r="T933" s="33"/>
    </row>
    <row r="934" spans="2:20" ht="15.75" customHeight="1">
      <c r="B934" s="5"/>
      <c r="C934" s="5"/>
      <c r="D934" s="5"/>
      <c r="E934" s="5"/>
      <c r="F934" s="5"/>
      <c r="P934" s="33"/>
      <c r="Q934" s="33"/>
      <c r="R934" s="33"/>
      <c r="S934" s="33"/>
      <c r="T934" s="33"/>
    </row>
    <row r="935" spans="2:20" ht="15.75" customHeight="1">
      <c r="B935" s="5"/>
      <c r="C935" s="5"/>
      <c r="D935" s="5"/>
      <c r="E935" s="5"/>
      <c r="F935" s="5"/>
      <c r="P935" s="33"/>
      <c r="Q935" s="33"/>
      <c r="R935" s="33"/>
      <c r="S935" s="33"/>
      <c r="T935" s="33"/>
    </row>
    <row r="936" spans="2:20" ht="15.75" customHeight="1">
      <c r="B936" s="5"/>
      <c r="C936" s="5"/>
      <c r="D936" s="5"/>
      <c r="E936" s="5"/>
      <c r="F936" s="5"/>
      <c r="P936" s="33"/>
      <c r="Q936" s="33"/>
      <c r="R936" s="33"/>
      <c r="S936" s="33"/>
      <c r="T936" s="33"/>
    </row>
    <row r="937" spans="2:20" ht="15.75" customHeight="1">
      <c r="B937" s="5"/>
      <c r="C937" s="5"/>
      <c r="D937" s="5"/>
      <c r="E937" s="5"/>
      <c r="F937" s="5"/>
      <c r="P937" s="33"/>
      <c r="Q937" s="33"/>
      <c r="R937" s="33"/>
      <c r="S937" s="33"/>
      <c r="T937" s="33"/>
    </row>
    <row r="938" spans="2:20" ht="15.75" customHeight="1">
      <c r="B938" s="5"/>
      <c r="C938" s="5"/>
      <c r="D938" s="5"/>
      <c r="E938" s="5"/>
      <c r="F938" s="5"/>
      <c r="P938" s="33"/>
      <c r="Q938" s="33"/>
      <c r="R938" s="33"/>
      <c r="S938" s="33"/>
      <c r="T938" s="33"/>
    </row>
    <row r="939" spans="2:20" ht="15.75" customHeight="1">
      <c r="B939" s="5"/>
      <c r="C939" s="5"/>
      <c r="D939" s="5"/>
      <c r="E939" s="5"/>
      <c r="F939" s="5"/>
      <c r="P939" s="33"/>
      <c r="Q939" s="33"/>
      <c r="R939" s="33"/>
      <c r="S939" s="33"/>
      <c r="T939" s="33"/>
    </row>
    <row r="940" spans="2:20" ht="15.75" customHeight="1">
      <c r="B940" s="5"/>
      <c r="C940" s="5"/>
      <c r="D940" s="5"/>
      <c r="E940" s="5"/>
      <c r="F940" s="5"/>
      <c r="P940" s="33"/>
      <c r="Q940" s="33"/>
      <c r="R940" s="33"/>
      <c r="S940" s="33"/>
      <c r="T940" s="33"/>
    </row>
    <row r="941" spans="2:20" ht="15.75" customHeight="1">
      <c r="B941" s="5"/>
      <c r="C941" s="5"/>
      <c r="D941" s="5"/>
      <c r="E941" s="5"/>
      <c r="F941" s="5"/>
      <c r="P941" s="33"/>
      <c r="Q941" s="33"/>
      <c r="R941" s="33"/>
      <c r="S941" s="33"/>
      <c r="T941" s="33"/>
    </row>
    <row r="942" spans="2:20" ht="15.75" customHeight="1">
      <c r="B942" s="5"/>
      <c r="C942" s="5"/>
      <c r="D942" s="5"/>
      <c r="E942" s="5"/>
      <c r="F942" s="5"/>
      <c r="P942" s="33"/>
      <c r="Q942" s="33"/>
      <c r="R942" s="33"/>
      <c r="S942" s="33"/>
      <c r="T942" s="33"/>
    </row>
    <row r="943" spans="2:20" ht="15.75" customHeight="1">
      <c r="B943" s="5"/>
      <c r="C943" s="5"/>
      <c r="D943" s="5"/>
      <c r="E943" s="5"/>
      <c r="F943" s="5"/>
      <c r="P943" s="33"/>
      <c r="Q943" s="33"/>
      <c r="R943" s="33"/>
      <c r="S943" s="33"/>
      <c r="T943" s="33"/>
    </row>
    <row r="944" spans="2:20" ht="15.75" customHeight="1">
      <c r="B944" s="5"/>
      <c r="C944" s="5"/>
      <c r="D944" s="5"/>
      <c r="E944" s="5"/>
      <c r="F944" s="5"/>
      <c r="P944" s="33"/>
      <c r="Q944" s="33"/>
      <c r="R944" s="33"/>
      <c r="S944" s="33"/>
      <c r="T944" s="33"/>
    </row>
    <row r="945" spans="2:20" ht="15.75" customHeight="1">
      <c r="B945" s="5"/>
      <c r="C945" s="5"/>
      <c r="D945" s="5"/>
      <c r="E945" s="5"/>
      <c r="F945" s="5"/>
      <c r="P945" s="33"/>
      <c r="Q945" s="33"/>
      <c r="R945" s="33"/>
      <c r="S945" s="33"/>
      <c r="T945" s="33"/>
    </row>
    <row r="946" spans="2:20" ht="15.75" customHeight="1">
      <c r="B946" s="5"/>
      <c r="C946" s="5"/>
      <c r="D946" s="5"/>
      <c r="E946" s="5"/>
      <c r="F946" s="5"/>
      <c r="P946" s="33"/>
      <c r="Q946" s="33"/>
      <c r="R946" s="33"/>
      <c r="S946" s="33"/>
      <c r="T946" s="33"/>
    </row>
    <row r="947" spans="2:20" ht="15.75" customHeight="1">
      <c r="B947" s="5"/>
      <c r="C947" s="5"/>
      <c r="D947" s="5"/>
      <c r="E947" s="5"/>
      <c r="F947" s="5"/>
      <c r="P947" s="33"/>
      <c r="Q947" s="33"/>
      <c r="R947" s="33"/>
      <c r="S947" s="33"/>
      <c r="T947" s="33"/>
    </row>
    <row r="948" spans="2:20" ht="15.75" customHeight="1">
      <c r="B948" s="5"/>
      <c r="C948" s="5"/>
      <c r="D948" s="5"/>
      <c r="E948" s="5"/>
      <c r="F948" s="5"/>
      <c r="P948" s="33"/>
      <c r="Q948" s="33"/>
      <c r="R948" s="33"/>
      <c r="S948" s="33"/>
      <c r="T948" s="33"/>
    </row>
    <row r="949" spans="2:20" ht="15.75" customHeight="1">
      <c r="B949" s="5"/>
      <c r="C949" s="5"/>
      <c r="D949" s="5"/>
      <c r="E949" s="5"/>
      <c r="F949" s="5"/>
      <c r="P949" s="33"/>
      <c r="Q949" s="33"/>
      <c r="R949" s="33"/>
      <c r="S949" s="33"/>
      <c r="T949" s="33"/>
    </row>
    <row r="950" spans="2:20" ht="15.75" customHeight="1">
      <c r="B950" s="5"/>
      <c r="C950" s="5"/>
      <c r="D950" s="5"/>
      <c r="E950" s="5"/>
      <c r="F950" s="5"/>
      <c r="P950" s="33"/>
      <c r="Q950" s="33"/>
      <c r="R950" s="33"/>
      <c r="S950" s="33"/>
      <c r="T950" s="33"/>
    </row>
    <row r="951" spans="2:20" ht="15.75" customHeight="1">
      <c r="B951" s="5"/>
      <c r="C951" s="5"/>
      <c r="D951" s="5"/>
      <c r="E951" s="5"/>
      <c r="F951" s="5"/>
      <c r="P951" s="33"/>
      <c r="Q951" s="33"/>
      <c r="R951" s="33"/>
      <c r="S951" s="33"/>
      <c r="T951" s="33"/>
    </row>
    <row r="952" spans="2:20" ht="15.75" customHeight="1">
      <c r="B952" s="5"/>
      <c r="C952" s="5"/>
      <c r="D952" s="5"/>
      <c r="E952" s="5"/>
      <c r="F952" s="5"/>
      <c r="P952" s="33"/>
      <c r="Q952" s="33"/>
      <c r="R952" s="33"/>
      <c r="S952" s="33"/>
      <c r="T952" s="33"/>
    </row>
    <row r="953" spans="2:20" ht="15.75" customHeight="1">
      <c r="B953" s="5"/>
      <c r="C953" s="5"/>
      <c r="D953" s="5"/>
      <c r="E953" s="5"/>
      <c r="F953" s="5"/>
      <c r="P953" s="33"/>
      <c r="Q953" s="33"/>
      <c r="R953" s="33"/>
      <c r="S953" s="33"/>
      <c r="T953" s="33"/>
    </row>
    <row r="954" spans="2:20" ht="15.75" customHeight="1">
      <c r="B954" s="5"/>
      <c r="C954" s="5"/>
      <c r="D954" s="5"/>
      <c r="E954" s="5"/>
      <c r="F954" s="5"/>
      <c r="P954" s="33"/>
      <c r="Q954" s="33"/>
      <c r="R954" s="33"/>
      <c r="S954" s="33"/>
      <c r="T954" s="33"/>
    </row>
    <row r="955" spans="2:20" ht="15.75" customHeight="1">
      <c r="B955" s="5"/>
      <c r="C955" s="5"/>
      <c r="D955" s="5"/>
      <c r="E955" s="5"/>
      <c r="F955" s="5"/>
      <c r="P955" s="33"/>
      <c r="Q955" s="33"/>
      <c r="R955" s="33"/>
      <c r="S955" s="33"/>
      <c r="T955" s="33"/>
    </row>
    <row r="956" spans="2:20" ht="15.75" customHeight="1">
      <c r="B956" s="5"/>
      <c r="C956" s="5"/>
      <c r="D956" s="5"/>
      <c r="E956" s="5"/>
      <c r="F956" s="5"/>
      <c r="P956" s="33"/>
      <c r="Q956" s="33"/>
      <c r="R956" s="33"/>
      <c r="S956" s="33"/>
      <c r="T956" s="33"/>
    </row>
    <row r="957" spans="2:20" ht="15.75" customHeight="1">
      <c r="B957" s="5"/>
      <c r="C957" s="5"/>
      <c r="D957" s="5"/>
      <c r="E957" s="5"/>
      <c r="F957" s="5"/>
      <c r="P957" s="33"/>
      <c r="Q957" s="33"/>
      <c r="R957" s="33"/>
      <c r="S957" s="33"/>
      <c r="T957" s="33"/>
    </row>
    <row r="958" spans="2:20" ht="15.75" customHeight="1">
      <c r="B958" s="5"/>
      <c r="C958" s="5"/>
      <c r="D958" s="5"/>
      <c r="E958" s="5"/>
      <c r="F958" s="5"/>
      <c r="P958" s="33"/>
      <c r="Q958" s="33"/>
      <c r="R958" s="33"/>
      <c r="S958" s="33"/>
      <c r="T958" s="33"/>
    </row>
    <row r="959" spans="2:20" ht="15.75" customHeight="1">
      <c r="B959" s="5"/>
      <c r="C959" s="5"/>
      <c r="D959" s="5"/>
      <c r="E959" s="5"/>
      <c r="F959" s="5"/>
      <c r="P959" s="33"/>
      <c r="Q959" s="33"/>
      <c r="R959" s="33"/>
      <c r="S959" s="33"/>
      <c r="T959" s="33"/>
    </row>
    <row r="960" spans="2:20" ht="15.75" customHeight="1">
      <c r="B960" s="5"/>
      <c r="C960" s="5"/>
      <c r="D960" s="5"/>
      <c r="E960" s="5"/>
      <c r="F960" s="5"/>
      <c r="P960" s="33"/>
      <c r="Q960" s="33"/>
      <c r="R960" s="33"/>
      <c r="S960" s="33"/>
      <c r="T960" s="33"/>
    </row>
    <row r="961" spans="2:20" ht="15.75" customHeight="1">
      <c r="B961" s="5"/>
      <c r="C961" s="5"/>
      <c r="D961" s="5"/>
      <c r="E961" s="5"/>
      <c r="F961" s="5"/>
      <c r="P961" s="33"/>
      <c r="Q961" s="33"/>
      <c r="R961" s="33"/>
      <c r="S961" s="33"/>
      <c r="T961" s="33"/>
    </row>
    <row r="962" spans="2:20" ht="15.75" customHeight="1">
      <c r="B962" s="5"/>
      <c r="C962" s="5"/>
      <c r="D962" s="5"/>
      <c r="E962" s="5"/>
      <c r="F962" s="5"/>
      <c r="P962" s="33"/>
      <c r="Q962" s="33"/>
      <c r="R962" s="33"/>
      <c r="S962" s="33"/>
      <c r="T962" s="33"/>
    </row>
    <row r="963" spans="2:20" ht="15.75" customHeight="1">
      <c r="B963" s="5"/>
      <c r="C963" s="5"/>
      <c r="D963" s="5"/>
      <c r="E963" s="5"/>
      <c r="F963" s="5"/>
      <c r="P963" s="33"/>
      <c r="Q963" s="33"/>
      <c r="R963" s="33"/>
      <c r="S963" s="33"/>
      <c r="T963" s="33"/>
    </row>
    <row r="964" spans="2:20" ht="15.75" customHeight="1">
      <c r="B964" s="5"/>
      <c r="C964" s="5"/>
      <c r="D964" s="5"/>
      <c r="E964" s="5"/>
      <c r="F964" s="5"/>
      <c r="P964" s="33"/>
      <c r="Q964" s="33"/>
      <c r="R964" s="33"/>
      <c r="S964" s="33"/>
      <c r="T964" s="33"/>
    </row>
    <row r="965" spans="2:20" ht="15.75" customHeight="1">
      <c r="B965" s="5"/>
      <c r="C965" s="5"/>
      <c r="D965" s="5"/>
      <c r="E965" s="5"/>
      <c r="F965" s="5"/>
      <c r="P965" s="33"/>
      <c r="Q965" s="33"/>
      <c r="R965" s="33"/>
      <c r="S965" s="33"/>
      <c r="T965" s="33"/>
    </row>
    <row r="966" spans="2:20" ht="15.75" customHeight="1">
      <c r="B966" s="5"/>
      <c r="C966" s="5"/>
      <c r="D966" s="5"/>
      <c r="E966" s="5"/>
      <c r="F966" s="5"/>
      <c r="P966" s="33"/>
      <c r="Q966" s="33"/>
      <c r="R966" s="33"/>
      <c r="S966" s="33"/>
      <c r="T966" s="33"/>
    </row>
    <row r="967" spans="2:20" ht="15.75" customHeight="1">
      <c r="B967" s="5"/>
      <c r="C967" s="5"/>
      <c r="D967" s="5"/>
      <c r="E967" s="5"/>
      <c r="F967" s="5"/>
      <c r="P967" s="33"/>
      <c r="Q967" s="33"/>
      <c r="R967" s="33"/>
      <c r="S967" s="33"/>
      <c r="T967" s="33"/>
    </row>
    <row r="968" spans="2:20" ht="15.75" customHeight="1">
      <c r="B968" s="5"/>
      <c r="C968" s="5"/>
      <c r="D968" s="5"/>
      <c r="E968" s="5"/>
      <c r="F968" s="5"/>
      <c r="P968" s="33"/>
      <c r="Q968" s="33"/>
      <c r="R968" s="33"/>
      <c r="S968" s="33"/>
      <c r="T968" s="33"/>
    </row>
    <row r="969" spans="2:20" ht="15.75" customHeight="1">
      <c r="B969" s="5"/>
      <c r="C969" s="5"/>
      <c r="D969" s="5"/>
      <c r="E969" s="5"/>
      <c r="F969" s="5"/>
      <c r="P969" s="33"/>
      <c r="Q969" s="33"/>
      <c r="R969" s="33"/>
      <c r="S969" s="33"/>
      <c r="T969" s="33"/>
    </row>
    <row r="970" spans="2:20" ht="15.75" customHeight="1">
      <c r="B970" s="5"/>
      <c r="C970" s="5"/>
      <c r="D970" s="5"/>
      <c r="E970" s="5"/>
      <c r="F970" s="5"/>
      <c r="P970" s="33"/>
      <c r="Q970" s="33"/>
      <c r="R970" s="33"/>
      <c r="S970" s="33"/>
      <c r="T970" s="33"/>
    </row>
    <row r="971" spans="2:20" ht="15.75" customHeight="1">
      <c r="B971" s="5"/>
      <c r="C971" s="5"/>
      <c r="D971" s="5"/>
      <c r="E971" s="5"/>
      <c r="F971" s="5"/>
      <c r="P971" s="33"/>
      <c r="Q971" s="33"/>
      <c r="R971" s="33"/>
      <c r="S971" s="33"/>
      <c r="T971" s="33"/>
    </row>
    <row r="972" spans="2:20" ht="15.75" customHeight="1">
      <c r="B972" s="5"/>
      <c r="C972" s="5"/>
      <c r="D972" s="5"/>
      <c r="E972" s="5"/>
      <c r="F972" s="5"/>
      <c r="P972" s="33"/>
      <c r="Q972" s="33"/>
      <c r="R972" s="33"/>
      <c r="S972" s="33"/>
      <c r="T972" s="33"/>
    </row>
    <row r="973" spans="2:20" ht="15.75" customHeight="1">
      <c r="B973" s="5"/>
      <c r="C973" s="5"/>
      <c r="D973" s="5"/>
      <c r="E973" s="5"/>
      <c r="F973" s="5"/>
      <c r="P973" s="33"/>
      <c r="Q973" s="33"/>
      <c r="R973" s="33"/>
      <c r="S973" s="33"/>
      <c r="T973" s="33"/>
    </row>
    <row r="974" spans="2:20" ht="15.75" customHeight="1">
      <c r="B974" s="5"/>
      <c r="C974" s="5"/>
      <c r="D974" s="5"/>
      <c r="E974" s="5"/>
      <c r="F974" s="5"/>
      <c r="P974" s="33"/>
      <c r="Q974" s="33"/>
      <c r="R974" s="33"/>
      <c r="S974" s="33"/>
      <c r="T974" s="33"/>
    </row>
    <row r="975" spans="2:20" ht="15.75" customHeight="1">
      <c r="B975" s="5"/>
      <c r="C975" s="5"/>
      <c r="D975" s="5"/>
      <c r="E975" s="5"/>
      <c r="F975" s="5"/>
      <c r="P975" s="33"/>
      <c r="Q975" s="33"/>
      <c r="R975" s="33"/>
      <c r="S975" s="33"/>
      <c r="T975" s="33"/>
    </row>
    <row r="976" spans="2:20" ht="15.75" customHeight="1">
      <c r="B976" s="5"/>
      <c r="C976" s="5"/>
      <c r="D976" s="5"/>
      <c r="E976" s="5"/>
      <c r="F976" s="5"/>
      <c r="P976" s="33"/>
      <c r="Q976" s="33"/>
      <c r="R976" s="33"/>
      <c r="S976" s="33"/>
      <c r="T976" s="33"/>
    </row>
    <row r="977" spans="2:20" ht="15.75" customHeight="1">
      <c r="B977" s="5"/>
      <c r="C977" s="5"/>
      <c r="D977" s="5"/>
      <c r="E977" s="5"/>
      <c r="F977" s="5"/>
      <c r="P977" s="33"/>
      <c r="Q977" s="33"/>
      <c r="R977" s="33"/>
      <c r="S977" s="33"/>
      <c r="T977" s="33"/>
    </row>
    <row r="978" spans="2:20" ht="15.75" customHeight="1">
      <c r="B978" s="5"/>
      <c r="C978" s="5"/>
      <c r="D978" s="5"/>
      <c r="E978" s="5"/>
      <c r="F978" s="5"/>
      <c r="P978" s="33"/>
      <c r="Q978" s="33"/>
      <c r="R978" s="33"/>
      <c r="S978" s="33"/>
      <c r="T978" s="33"/>
    </row>
    <row r="979" spans="2:20" ht="15.75" customHeight="1">
      <c r="B979" s="5"/>
      <c r="C979" s="5"/>
      <c r="D979" s="5"/>
      <c r="E979" s="5"/>
      <c r="F979" s="5"/>
      <c r="P979" s="33"/>
      <c r="Q979" s="33"/>
      <c r="R979" s="33"/>
      <c r="S979" s="33"/>
      <c r="T979" s="33"/>
    </row>
    <row r="980" spans="2:20" ht="15.75" customHeight="1">
      <c r="B980" s="5"/>
      <c r="C980" s="5"/>
      <c r="D980" s="5"/>
      <c r="E980" s="5"/>
      <c r="F980" s="5"/>
      <c r="P980" s="33"/>
      <c r="Q980" s="33"/>
      <c r="R980" s="33"/>
      <c r="S980" s="33"/>
      <c r="T980" s="33"/>
    </row>
    <row r="981" spans="2:20" ht="15.75" customHeight="1">
      <c r="B981" s="5"/>
      <c r="C981" s="5"/>
      <c r="D981" s="5"/>
      <c r="E981" s="5"/>
      <c r="F981" s="5"/>
      <c r="P981" s="33"/>
      <c r="Q981" s="33"/>
      <c r="R981" s="33"/>
      <c r="S981" s="33"/>
      <c r="T981" s="33"/>
    </row>
    <row r="982" spans="2:20" ht="15.75" customHeight="1">
      <c r="B982" s="5"/>
      <c r="C982" s="5"/>
      <c r="D982" s="5"/>
      <c r="E982" s="5"/>
      <c r="F982" s="5"/>
      <c r="P982" s="33"/>
      <c r="Q982" s="33"/>
      <c r="R982" s="33"/>
      <c r="S982" s="33"/>
      <c r="T982" s="33"/>
    </row>
    <row r="983" spans="2:20" ht="15.75" customHeight="1">
      <c r="B983" s="5"/>
      <c r="C983" s="5"/>
      <c r="D983" s="5"/>
      <c r="E983" s="5"/>
      <c r="F983" s="5"/>
      <c r="P983" s="33"/>
      <c r="Q983" s="33"/>
      <c r="R983" s="33"/>
      <c r="S983" s="33"/>
      <c r="T983" s="33"/>
    </row>
    <row r="984" spans="2:20" ht="15.75" customHeight="1">
      <c r="B984" s="5"/>
      <c r="C984" s="5"/>
      <c r="D984" s="5"/>
      <c r="E984" s="5"/>
      <c r="F984" s="5"/>
      <c r="P984" s="33"/>
      <c r="Q984" s="33"/>
      <c r="R984" s="33"/>
      <c r="S984" s="33"/>
      <c r="T984" s="33"/>
    </row>
    <row r="985" spans="2:20" ht="15.75" customHeight="1">
      <c r="B985" s="5"/>
      <c r="C985" s="5"/>
      <c r="D985" s="5"/>
      <c r="E985" s="5"/>
      <c r="F985" s="5"/>
      <c r="P985" s="33"/>
      <c r="Q985" s="33"/>
      <c r="R985" s="33"/>
      <c r="S985" s="33"/>
      <c r="T985" s="33"/>
    </row>
    <row r="986" spans="2:20" ht="15.75" customHeight="1">
      <c r="B986" s="5"/>
      <c r="C986" s="5"/>
      <c r="D986" s="5"/>
      <c r="E986" s="5"/>
      <c r="F986" s="5"/>
      <c r="P986" s="33"/>
      <c r="Q986" s="33"/>
      <c r="R986" s="33"/>
      <c r="S986" s="33"/>
      <c r="T986" s="33"/>
    </row>
    <row r="987" spans="2:20" ht="15.75" customHeight="1">
      <c r="B987" s="5"/>
      <c r="C987" s="5"/>
      <c r="D987" s="5"/>
      <c r="E987" s="5"/>
      <c r="F987" s="5"/>
      <c r="P987" s="33"/>
      <c r="Q987" s="33"/>
      <c r="R987" s="33"/>
      <c r="S987" s="33"/>
      <c r="T987" s="33"/>
    </row>
    <row r="988" spans="2:20" ht="15.75" customHeight="1">
      <c r="B988" s="5"/>
      <c r="C988" s="5"/>
      <c r="D988" s="5"/>
      <c r="E988" s="5"/>
      <c r="F988" s="5"/>
      <c r="P988" s="33"/>
      <c r="Q988" s="33"/>
      <c r="R988" s="33"/>
      <c r="S988" s="33"/>
      <c r="T988" s="33"/>
    </row>
    <row r="989" spans="2:20" ht="15.75" customHeight="1">
      <c r="B989" s="5"/>
      <c r="C989" s="5"/>
      <c r="D989" s="5"/>
      <c r="E989" s="5"/>
      <c r="F989" s="5"/>
      <c r="P989" s="33"/>
      <c r="Q989" s="33"/>
      <c r="R989" s="33"/>
      <c r="S989" s="33"/>
      <c r="T989" s="33"/>
    </row>
    <row r="990" spans="2:20" ht="15.75" customHeight="1">
      <c r="B990" s="5"/>
      <c r="C990" s="5"/>
      <c r="D990" s="5"/>
      <c r="E990" s="5"/>
      <c r="F990" s="5"/>
      <c r="P990" s="33"/>
      <c r="Q990" s="33"/>
      <c r="R990" s="33"/>
      <c r="S990" s="33"/>
      <c r="T990" s="33"/>
    </row>
    <row r="991" spans="2:20" ht="15.75" customHeight="1">
      <c r="B991" s="5"/>
      <c r="C991" s="5"/>
      <c r="D991" s="5"/>
      <c r="E991" s="5"/>
      <c r="F991" s="5"/>
      <c r="P991" s="33"/>
      <c r="Q991" s="33"/>
      <c r="R991" s="33"/>
      <c r="S991" s="33"/>
      <c r="T991" s="33"/>
    </row>
    <row r="992" spans="2:20" ht="15.75" customHeight="1">
      <c r="B992" s="5"/>
      <c r="C992" s="5"/>
      <c r="D992" s="5"/>
      <c r="E992" s="5"/>
      <c r="F992" s="5"/>
      <c r="P992" s="33"/>
      <c r="Q992" s="33"/>
      <c r="R992" s="33"/>
      <c r="S992" s="33"/>
      <c r="T992" s="33"/>
    </row>
    <row r="993" spans="2:20" ht="15.75" customHeight="1">
      <c r="B993" s="5"/>
      <c r="C993" s="5"/>
      <c r="D993" s="5"/>
      <c r="E993" s="5"/>
      <c r="F993" s="5"/>
      <c r="P993" s="33"/>
      <c r="Q993" s="33"/>
      <c r="R993" s="33"/>
      <c r="S993" s="33"/>
      <c r="T993" s="33"/>
    </row>
    <row r="994" spans="2:20" ht="15.75" customHeight="1">
      <c r="B994" s="5"/>
      <c r="C994" s="5"/>
      <c r="D994" s="5"/>
      <c r="E994" s="5"/>
      <c r="F994" s="5"/>
      <c r="P994" s="33"/>
      <c r="Q994" s="33"/>
      <c r="R994" s="33"/>
      <c r="S994" s="33"/>
      <c r="T994" s="33"/>
    </row>
    <row r="995" spans="2:20" ht="15.75" customHeight="1">
      <c r="B995" s="5"/>
      <c r="C995" s="5"/>
      <c r="D995" s="5"/>
      <c r="E995" s="5"/>
      <c r="F995" s="5"/>
      <c r="P995" s="33"/>
      <c r="Q995" s="33"/>
      <c r="R995" s="33"/>
      <c r="S995" s="33"/>
      <c r="T995" s="33"/>
    </row>
    <row r="996" spans="2:20" ht="15.75" customHeight="1">
      <c r="B996" s="5"/>
      <c r="C996" s="5"/>
      <c r="D996" s="5"/>
      <c r="E996" s="5"/>
      <c r="F996" s="5"/>
      <c r="P996" s="33"/>
      <c r="Q996" s="33"/>
      <c r="R996" s="33"/>
      <c r="S996" s="33"/>
      <c r="T996" s="33"/>
    </row>
    <row r="997" spans="2:20" ht="15.75" customHeight="1">
      <c r="B997" s="5"/>
      <c r="C997" s="5"/>
      <c r="D997" s="5"/>
      <c r="E997" s="5"/>
      <c r="F997" s="5"/>
      <c r="P997" s="33"/>
      <c r="Q997" s="33"/>
      <c r="R997" s="33"/>
      <c r="S997" s="33"/>
      <c r="T997" s="33"/>
    </row>
    <row r="998" spans="2:20" ht="15.75" customHeight="1">
      <c r="B998" s="5"/>
      <c r="C998" s="5"/>
      <c r="D998" s="5"/>
      <c r="E998" s="5"/>
      <c r="F998" s="5"/>
      <c r="P998" s="33"/>
      <c r="Q998" s="33"/>
      <c r="R998" s="33"/>
      <c r="S998" s="33"/>
      <c r="T998" s="33"/>
    </row>
    <row r="999" spans="2:20" ht="15.75" customHeight="1">
      <c r="B999" s="5"/>
      <c r="C999" s="5"/>
      <c r="D999" s="5"/>
      <c r="E999" s="5"/>
      <c r="F999" s="5"/>
      <c r="P999" s="33"/>
      <c r="Q999" s="33"/>
      <c r="R999" s="33"/>
      <c r="S999" s="33"/>
      <c r="T999" s="33"/>
    </row>
    <row r="1000" spans="2:20" ht="15.75" customHeight="1">
      <c r="B1000" s="5"/>
      <c r="C1000" s="5"/>
      <c r="D1000" s="5"/>
      <c r="E1000" s="5"/>
      <c r="F1000" s="5"/>
      <c r="P1000" s="33"/>
      <c r="Q1000" s="33"/>
      <c r="R1000" s="33"/>
      <c r="S1000" s="33"/>
      <c r="T1000" s="33"/>
    </row>
    <row r="1001" spans="2:20" ht="15.75" customHeight="1">
      <c r="B1001" s="5"/>
      <c r="C1001" s="5"/>
      <c r="D1001" s="5"/>
      <c r="E1001" s="5"/>
      <c r="F1001" s="5"/>
      <c r="P1001" s="33"/>
      <c r="Q1001" s="33"/>
      <c r="R1001" s="33"/>
      <c r="S1001" s="33"/>
      <c r="T1001" s="33"/>
    </row>
    <row r="1002" spans="2:20" ht="15.75" customHeight="1">
      <c r="B1002" s="5"/>
      <c r="C1002" s="5"/>
      <c r="D1002" s="5"/>
      <c r="E1002" s="5"/>
      <c r="F1002" s="5"/>
      <c r="P1002" s="33"/>
      <c r="Q1002" s="33"/>
      <c r="R1002" s="33"/>
      <c r="S1002" s="33"/>
      <c r="T1002" s="33"/>
    </row>
  </sheetData>
  <conditionalFormatting sqref="E6:E13">
    <cfRule type="cellIs" dxfId="9" priority="1" operator="greaterThanOrEqual">
      <formula>0</formula>
    </cfRule>
  </conditionalFormatting>
  <conditionalFormatting sqref="E6:E13">
    <cfRule type="cellIs" dxfId="8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5"/>
  <sheetViews>
    <sheetView workbookViewId="0">
      <selection activeCell="T6" sqref="T6"/>
    </sheetView>
  </sheetViews>
  <sheetFormatPr baseColWidth="10" defaultColWidth="11.1640625" defaultRowHeight="15" customHeight="1"/>
  <cols>
    <col min="1" max="1" width="11.83203125" customWidth="1"/>
    <col min="2" max="2" width="8.33203125" customWidth="1"/>
    <col min="3" max="3" width="8.83203125" customWidth="1"/>
    <col min="4" max="4" width="7.1640625" customWidth="1"/>
    <col min="5" max="5" width="10.5" customWidth="1"/>
    <col min="6" max="6" width="8.1640625" bestFit="1" customWidth="1"/>
    <col min="7" max="7" width="5.1640625" customWidth="1"/>
    <col min="8" max="8" width="4.33203125" customWidth="1"/>
    <col min="9" max="9" width="4.1640625" customWidth="1"/>
    <col min="10" max="10" width="5.33203125" customWidth="1"/>
    <col min="11" max="11" width="6.1640625" customWidth="1"/>
    <col min="12" max="13" width="2.6640625" customWidth="1"/>
    <col min="14" max="14" width="12.1640625" customWidth="1"/>
    <col min="15" max="15" width="1.5" customWidth="1"/>
    <col min="16" max="16" width="6.1640625" customWidth="1"/>
    <col min="17" max="17" width="4" customWidth="1"/>
    <col min="18" max="18" width="4.33203125" customWidth="1"/>
    <col min="19" max="19" width="5.83203125" customWidth="1"/>
    <col min="20" max="20" width="6.5" customWidth="1"/>
    <col min="21" max="26" width="10.5" customWidth="1"/>
  </cols>
  <sheetData>
    <row r="1" spans="1:26" ht="15.75" customHeight="1">
      <c r="A1" s="2" t="s">
        <v>1</v>
      </c>
      <c r="B1" s="4" t="s">
        <v>3</v>
      </c>
      <c r="C1" s="5"/>
      <c r="D1" s="5"/>
      <c r="E1" s="5"/>
      <c r="F1" s="5"/>
      <c r="P1" s="33"/>
      <c r="Q1" s="33"/>
      <c r="R1" s="33"/>
      <c r="S1" s="33"/>
      <c r="T1" s="33"/>
    </row>
    <row r="2" spans="1:26" ht="15.75" customHeight="1">
      <c r="A2" s="2" t="s">
        <v>6</v>
      </c>
      <c r="B2" s="4" t="s">
        <v>12</v>
      </c>
      <c r="C2" s="39" t="s">
        <v>48</v>
      </c>
      <c r="D2" s="5"/>
      <c r="E2" s="5"/>
      <c r="F2" s="5"/>
      <c r="P2" s="33"/>
      <c r="Q2" s="33"/>
      <c r="R2" s="33"/>
      <c r="S2" s="33"/>
      <c r="T2" s="33"/>
    </row>
    <row r="3" spans="1:26" ht="15.75" customHeight="1">
      <c r="A3" s="2" t="s">
        <v>10</v>
      </c>
      <c r="B3" s="9">
        <v>0.56597222222222221</v>
      </c>
      <c r="C3" s="10">
        <v>43664</v>
      </c>
      <c r="D3" s="5"/>
      <c r="E3" s="5"/>
      <c r="F3" s="5"/>
      <c r="P3" s="33"/>
      <c r="Q3" s="33"/>
      <c r="R3" s="33"/>
      <c r="S3" s="33"/>
      <c r="T3" s="33"/>
    </row>
    <row r="4" spans="1:26" ht="15.75" customHeight="1">
      <c r="B4" s="5"/>
      <c r="C4" s="5"/>
      <c r="D4" s="5"/>
      <c r="E4" s="5"/>
      <c r="G4" s="4" t="s">
        <v>15</v>
      </c>
      <c r="P4" s="14" t="s">
        <v>49</v>
      </c>
      <c r="Q4" s="40"/>
      <c r="R4" s="33"/>
      <c r="S4" s="33"/>
      <c r="T4" s="41" t="s">
        <v>50</v>
      </c>
    </row>
    <row r="5" spans="1:26" ht="15.75" customHeight="1">
      <c r="A5" s="12" t="s">
        <v>18</v>
      </c>
      <c r="B5" s="12" t="s">
        <v>19</v>
      </c>
      <c r="C5" s="12" t="s">
        <v>20</v>
      </c>
      <c r="D5" s="12" t="s">
        <v>21</v>
      </c>
      <c r="E5" s="4" t="s">
        <v>22</v>
      </c>
      <c r="G5" s="4" t="s">
        <v>23</v>
      </c>
      <c r="H5" s="14" t="s">
        <v>24</v>
      </c>
      <c r="I5" s="12" t="s">
        <v>25</v>
      </c>
      <c r="J5" s="12" t="s">
        <v>26</v>
      </c>
      <c r="K5" s="12" t="s">
        <v>27</v>
      </c>
      <c r="L5" s="12"/>
      <c r="N5" s="16" t="s">
        <v>28</v>
      </c>
      <c r="P5" s="14" t="s">
        <v>51</v>
      </c>
      <c r="Q5" s="14" t="s">
        <v>52</v>
      </c>
      <c r="R5" s="14" t="s">
        <v>53</v>
      </c>
      <c r="S5" s="14" t="s">
        <v>54</v>
      </c>
      <c r="T5" s="41" t="s">
        <v>55</v>
      </c>
      <c r="V5" s="59" t="s">
        <v>89</v>
      </c>
      <c r="W5" s="59" t="s">
        <v>90</v>
      </c>
      <c r="X5" s="59" t="s">
        <v>91</v>
      </c>
      <c r="Y5" s="59" t="s">
        <v>92</v>
      </c>
    </row>
    <row r="6" spans="1:26" ht="15.75" customHeight="1">
      <c r="A6" s="13">
        <v>1</v>
      </c>
      <c r="B6" s="13">
        <v>3.8</v>
      </c>
      <c r="C6" s="13">
        <v>43</v>
      </c>
      <c r="D6" s="53">
        <f t="shared" ref="D6:D13" si="0">AVERAGE(G6:K6)</f>
        <v>33</v>
      </c>
      <c r="E6" s="20">
        <f t="shared" ref="E6:E13" si="1">IF(ABS(D6-C6)&gt;180,360-ABS(D6-C6),D6-C6)</f>
        <v>-10</v>
      </c>
      <c r="G6" s="13"/>
      <c r="H6" s="54">
        <v>31</v>
      </c>
      <c r="I6" s="13">
        <v>35</v>
      </c>
      <c r="J6" s="13">
        <v>29</v>
      </c>
      <c r="K6" s="13">
        <v>37</v>
      </c>
      <c r="L6" s="13"/>
      <c r="N6" s="15" t="s">
        <v>65</v>
      </c>
      <c r="O6" s="22"/>
      <c r="P6" s="21">
        <v>1.2</v>
      </c>
      <c r="Q6" s="34">
        <v>215</v>
      </c>
      <c r="R6" s="21">
        <v>36</v>
      </c>
      <c r="S6" s="42">
        <f t="shared" ref="S6:S13" si="2">COS(RADIANS(C6-Q6))*P6*R6/60</f>
        <v>-0.71299300949393063</v>
      </c>
      <c r="T6" s="43">
        <f t="shared" ref="T6:T13" si="3">B6-S6</f>
        <v>4.5129930094939308</v>
      </c>
      <c r="V6" s="19">
        <f>IF(ISBLANK(A6),"",A6)</f>
        <v>1</v>
      </c>
      <c r="W6" s="61">
        <f>IF(V6="","",IF(ISBLANK(T6),B6,T6))</f>
        <v>4.5129930094939308</v>
      </c>
      <c r="X6" s="21">
        <f>IF(V6="","",C6)</f>
        <v>43</v>
      </c>
      <c r="Y6" s="60">
        <f>IF(V6="","",D6)</f>
        <v>33</v>
      </c>
    </row>
    <row r="7" spans="1:26" ht="15.75" customHeight="1">
      <c r="A7" s="13">
        <v>2</v>
      </c>
      <c r="B7" s="13">
        <v>3.04</v>
      </c>
      <c r="C7" s="13">
        <v>220</v>
      </c>
      <c r="D7" s="53">
        <f t="shared" si="0"/>
        <v>33.5</v>
      </c>
      <c r="E7" s="20">
        <f t="shared" si="1"/>
        <v>173.5</v>
      </c>
      <c r="G7" s="13"/>
      <c r="H7" s="54">
        <v>33</v>
      </c>
      <c r="I7" s="13">
        <v>30</v>
      </c>
      <c r="J7" s="13">
        <v>39</v>
      </c>
      <c r="K7" s="13">
        <v>32</v>
      </c>
      <c r="L7" s="13"/>
      <c r="N7" s="15" t="s">
        <v>66</v>
      </c>
      <c r="O7" s="23"/>
      <c r="P7" s="34">
        <v>1.2</v>
      </c>
      <c r="Q7" s="34">
        <v>215</v>
      </c>
      <c r="R7" s="34">
        <v>12</v>
      </c>
      <c r="S7" s="42">
        <f t="shared" si="2"/>
        <v>0.23908672754201893</v>
      </c>
      <c r="T7" s="43">
        <f t="shared" si="3"/>
        <v>2.8009132724579811</v>
      </c>
      <c r="V7" s="19">
        <f>IF(ISBLANK(A7),"",A7)</f>
        <v>2</v>
      </c>
      <c r="W7" s="61">
        <f t="shared" ref="W7:W12" si="4">IF(V7="","",IF(ISBLANK(T7),B7,T7))</f>
        <v>2.8009132724579811</v>
      </c>
      <c r="X7" s="21">
        <f t="shared" ref="X7:X12" si="5">IF(V7="","",C7)</f>
        <v>220</v>
      </c>
      <c r="Y7" s="60">
        <f t="shared" ref="Y7:Y12" si="6">IF(V7="","",D7)</f>
        <v>33.5</v>
      </c>
    </row>
    <row r="8" spans="1:26" ht="15.75" customHeight="1">
      <c r="A8" s="13">
        <v>3</v>
      </c>
      <c r="B8" s="13">
        <v>1.66</v>
      </c>
      <c r="C8" s="13">
        <v>206</v>
      </c>
      <c r="D8" s="53">
        <f t="shared" si="0"/>
        <v>32</v>
      </c>
      <c r="E8" s="20">
        <f t="shared" si="1"/>
        <v>-174</v>
      </c>
      <c r="G8" s="13"/>
      <c r="H8" s="54">
        <v>32</v>
      </c>
      <c r="I8" s="13">
        <v>30</v>
      </c>
      <c r="J8" s="13">
        <v>34</v>
      </c>
      <c r="K8" s="13">
        <v>32</v>
      </c>
      <c r="L8" s="13"/>
      <c r="N8" s="15" t="s">
        <v>67</v>
      </c>
      <c r="O8" s="23"/>
      <c r="P8" s="21">
        <v>1.2</v>
      </c>
      <c r="Q8" s="34">
        <v>200</v>
      </c>
      <c r="R8" s="21">
        <v>10</v>
      </c>
      <c r="S8" s="42">
        <f t="shared" si="2"/>
        <v>0.19890437907365463</v>
      </c>
      <c r="T8" s="43">
        <f t="shared" si="3"/>
        <v>1.4610956209263453</v>
      </c>
      <c r="V8" s="19">
        <f>IF(ISBLANK(A8),"",A8)</f>
        <v>3</v>
      </c>
      <c r="W8" s="61">
        <f t="shared" si="4"/>
        <v>1.4610956209263453</v>
      </c>
      <c r="X8" s="21">
        <f t="shared" si="5"/>
        <v>206</v>
      </c>
      <c r="Y8" s="60">
        <f t="shared" si="6"/>
        <v>32</v>
      </c>
    </row>
    <row r="9" spans="1:26" ht="15.75" customHeight="1">
      <c r="A9" s="13">
        <v>4</v>
      </c>
      <c r="B9" s="13">
        <v>1.66</v>
      </c>
      <c r="C9" s="25">
        <v>26</v>
      </c>
      <c r="D9" s="53">
        <f t="shared" si="0"/>
        <v>31</v>
      </c>
      <c r="E9" s="20">
        <f t="shared" si="1"/>
        <v>5</v>
      </c>
      <c r="G9" s="28"/>
      <c r="H9" s="54">
        <v>30</v>
      </c>
      <c r="I9" s="13">
        <v>33</v>
      </c>
      <c r="J9" s="13">
        <v>30</v>
      </c>
      <c r="K9" s="13">
        <v>31</v>
      </c>
      <c r="L9" s="13"/>
      <c r="N9" s="15" t="s">
        <v>66</v>
      </c>
      <c r="O9" s="23"/>
      <c r="P9" s="21">
        <v>1.2</v>
      </c>
      <c r="Q9" s="34">
        <v>200</v>
      </c>
      <c r="R9" s="21">
        <v>15</v>
      </c>
      <c r="S9" s="42">
        <f t="shared" si="2"/>
        <v>-0.29835656861048199</v>
      </c>
      <c r="T9" s="43">
        <f t="shared" si="3"/>
        <v>1.958356568610482</v>
      </c>
      <c r="V9" s="19">
        <f t="shared" ref="V9:V12" si="7">IF(ISBLANK(A9),"",A9)</f>
        <v>4</v>
      </c>
      <c r="W9" s="61">
        <f t="shared" si="4"/>
        <v>1.958356568610482</v>
      </c>
      <c r="X9" s="21">
        <f t="shared" si="5"/>
        <v>26</v>
      </c>
      <c r="Y9" s="60">
        <f t="shared" si="6"/>
        <v>31</v>
      </c>
    </row>
    <row r="10" spans="1:26" ht="15.75" customHeight="1">
      <c r="A10" s="13">
        <v>5</v>
      </c>
      <c r="B10" s="13">
        <v>3.04</v>
      </c>
      <c r="C10" s="25">
        <v>40</v>
      </c>
      <c r="D10" s="53">
        <f t="shared" si="0"/>
        <v>33</v>
      </c>
      <c r="E10" s="20">
        <f t="shared" si="1"/>
        <v>-7</v>
      </c>
      <c r="G10" s="28"/>
      <c r="H10" s="54">
        <v>33</v>
      </c>
      <c r="I10" s="13">
        <v>33</v>
      </c>
      <c r="J10" s="13">
        <v>35</v>
      </c>
      <c r="K10" s="13">
        <v>31</v>
      </c>
      <c r="L10" s="13"/>
      <c r="N10" s="15" t="s">
        <v>65</v>
      </c>
      <c r="O10" s="23"/>
      <c r="P10" s="21">
        <v>1.1000000000000001</v>
      </c>
      <c r="Q10" s="34">
        <v>215</v>
      </c>
      <c r="R10" s="21">
        <v>25</v>
      </c>
      <c r="S10" s="42">
        <f t="shared" si="2"/>
        <v>-0.45658923662538337</v>
      </c>
      <c r="T10" s="43">
        <f t="shared" si="3"/>
        <v>3.4965892366253835</v>
      </c>
      <c r="V10" s="19">
        <f t="shared" si="7"/>
        <v>5</v>
      </c>
      <c r="W10" s="61">
        <f t="shared" si="4"/>
        <v>3.4965892366253835</v>
      </c>
      <c r="X10" s="21">
        <f t="shared" si="5"/>
        <v>40</v>
      </c>
      <c r="Y10" s="60">
        <f t="shared" si="6"/>
        <v>33</v>
      </c>
    </row>
    <row r="11" spans="1:26" ht="15.75" customHeight="1">
      <c r="A11" s="13">
        <v>6</v>
      </c>
      <c r="B11" s="13">
        <v>3.04</v>
      </c>
      <c r="C11" s="25">
        <v>220</v>
      </c>
      <c r="D11" s="53">
        <f t="shared" si="0"/>
        <v>37.25</v>
      </c>
      <c r="E11" s="20">
        <f t="shared" si="1"/>
        <v>177.25</v>
      </c>
      <c r="G11" s="28"/>
      <c r="H11" s="54">
        <v>38</v>
      </c>
      <c r="I11" s="13">
        <v>27</v>
      </c>
      <c r="J11" s="13">
        <v>47</v>
      </c>
      <c r="K11" s="13">
        <v>37</v>
      </c>
      <c r="L11" s="13"/>
      <c r="N11" s="15" t="s">
        <v>66</v>
      </c>
      <c r="O11" s="23"/>
      <c r="P11" s="21">
        <v>1.1000000000000001</v>
      </c>
      <c r="Q11" s="21">
        <v>215</v>
      </c>
      <c r="R11" s="21">
        <v>19</v>
      </c>
      <c r="S11" s="42">
        <f t="shared" si="2"/>
        <v>0.34700781983529139</v>
      </c>
      <c r="T11" s="43">
        <f t="shared" si="3"/>
        <v>2.6929921801647088</v>
      </c>
      <c r="V11" s="19">
        <f t="shared" si="7"/>
        <v>6</v>
      </c>
      <c r="W11" s="61">
        <f t="shared" si="4"/>
        <v>2.6929921801647088</v>
      </c>
      <c r="X11" s="21">
        <f t="shared" si="5"/>
        <v>220</v>
      </c>
      <c r="Y11" s="60">
        <f t="shared" si="6"/>
        <v>37.25</v>
      </c>
    </row>
    <row r="12" spans="1:26" ht="15.75" customHeight="1">
      <c r="A12" s="13">
        <v>7</v>
      </c>
      <c r="B12" s="13">
        <v>1.66</v>
      </c>
      <c r="C12" s="25">
        <v>206</v>
      </c>
      <c r="D12" s="53">
        <f t="shared" si="0"/>
        <v>33.25</v>
      </c>
      <c r="E12" s="20">
        <f t="shared" si="1"/>
        <v>-172.75</v>
      </c>
      <c r="G12" s="28"/>
      <c r="H12" s="54">
        <v>34</v>
      </c>
      <c r="I12" s="13">
        <v>27</v>
      </c>
      <c r="J12" s="13">
        <v>35</v>
      </c>
      <c r="K12" s="13">
        <v>37</v>
      </c>
      <c r="L12" s="13"/>
      <c r="N12" s="15" t="s">
        <v>67</v>
      </c>
      <c r="O12" s="23"/>
      <c r="P12" s="21">
        <v>1</v>
      </c>
      <c r="Q12" s="34">
        <v>200</v>
      </c>
      <c r="R12" s="21">
        <v>12</v>
      </c>
      <c r="S12" s="42">
        <f t="shared" si="2"/>
        <v>0.19890437907365463</v>
      </c>
      <c r="T12" s="43">
        <f t="shared" si="3"/>
        <v>1.4610956209263453</v>
      </c>
      <c r="U12" s="2"/>
      <c r="V12" s="19">
        <f t="shared" si="7"/>
        <v>7</v>
      </c>
      <c r="W12" s="61">
        <f t="shared" si="4"/>
        <v>1.4610956209263453</v>
      </c>
      <c r="X12" s="21">
        <f t="shared" si="5"/>
        <v>206</v>
      </c>
      <c r="Y12" s="60">
        <f t="shared" si="6"/>
        <v>33.25</v>
      </c>
      <c r="Z12" s="2"/>
    </row>
    <row r="13" spans="1:26" ht="15.75" customHeight="1">
      <c r="A13" s="13">
        <v>8</v>
      </c>
      <c r="B13" s="13">
        <v>0.99</v>
      </c>
      <c r="C13" s="25">
        <v>65</v>
      </c>
      <c r="D13" s="53">
        <f t="shared" si="0"/>
        <v>35</v>
      </c>
      <c r="E13" s="20">
        <f t="shared" si="1"/>
        <v>-30</v>
      </c>
      <c r="G13" s="28"/>
      <c r="H13" s="54">
        <v>33</v>
      </c>
      <c r="I13" s="13">
        <v>37</v>
      </c>
      <c r="J13" s="13">
        <v>36</v>
      </c>
      <c r="K13" s="13">
        <v>34</v>
      </c>
      <c r="L13" s="13"/>
      <c r="N13" s="15" t="s">
        <v>69</v>
      </c>
      <c r="O13" s="23"/>
      <c r="P13" s="21">
        <v>1</v>
      </c>
      <c r="Q13" s="34">
        <v>200</v>
      </c>
      <c r="R13" s="21">
        <v>8</v>
      </c>
      <c r="S13" s="42">
        <f t="shared" si="2"/>
        <v>-9.4280904158206322E-2</v>
      </c>
      <c r="T13" s="43">
        <f t="shared" si="3"/>
        <v>1.0842809041582062</v>
      </c>
      <c r="U13" s="2"/>
      <c r="V13" s="19">
        <f t="shared" ref="V13" si="8">IF(ISBLANK(A13),"",A13)</f>
        <v>8</v>
      </c>
      <c r="W13" s="61">
        <f t="shared" ref="W13" si="9">IF(V13="","",IF(ISBLANK(T13),B13,T13))</f>
        <v>1.0842809041582062</v>
      </c>
      <c r="X13" s="21">
        <f t="shared" ref="X13" si="10">IF(V13="","",C13)</f>
        <v>65</v>
      </c>
      <c r="Y13" s="60">
        <f t="shared" ref="Y13" si="11">IF(V13="","",D13)</f>
        <v>35</v>
      </c>
      <c r="Z13" s="2"/>
    </row>
    <row r="14" spans="1:26" ht="15.75" customHeight="1">
      <c r="A14" s="13"/>
      <c r="B14" s="27"/>
      <c r="C14" s="28"/>
      <c r="D14" s="25"/>
      <c r="E14" s="5"/>
      <c r="G14" s="28"/>
      <c r="H14" s="21"/>
      <c r="I14" s="13"/>
      <c r="J14" s="13"/>
      <c r="K14" s="13"/>
      <c r="L14" s="13"/>
      <c r="N14" s="29"/>
      <c r="O14" s="23"/>
      <c r="P14" s="26"/>
      <c r="Q14" s="33"/>
      <c r="R14" s="26"/>
      <c r="S14" s="8"/>
      <c r="T14" s="8"/>
      <c r="U14" s="2"/>
      <c r="V14" s="2"/>
      <c r="W14" s="2"/>
      <c r="X14" s="2"/>
      <c r="Y14" s="2"/>
      <c r="Z14" s="2"/>
    </row>
    <row r="15" spans="1:26" ht="15.75" customHeight="1">
      <c r="A15" s="14" t="s">
        <v>32</v>
      </c>
      <c r="B15" s="8">
        <f>SUM(B6:B14)</f>
        <v>18.889999999999997</v>
      </c>
      <c r="C15" s="28"/>
      <c r="D15" s="25"/>
      <c r="E15" s="5"/>
      <c r="G15" s="28"/>
      <c r="H15" s="21"/>
      <c r="I15" s="13"/>
      <c r="J15" s="13"/>
      <c r="K15" s="13"/>
      <c r="L15" s="13"/>
      <c r="N15" s="29"/>
      <c r="O15" s="23"/>
      <c r="P15" s="26"/>
      <c r="Q15" s="33"/>
      <c r="R15" s="26"/>
      <c r="S15" s="8"/>
      <c r="T15" s="8"/>
      <c r="U15" s="2"/>
      <c r="V15" s="2"/>
      <c r="W15" s="2"/>
      <c r="X15" s="2"/>
      <c r="Y15" s="2"/>
      <c r="Z15" s="2"/>
    </row>
    <row r="16" spans="1:26" ht="15.75" customHeight="1">
      <c r="A16" s="13"/>
      <c r="B16" s="27"/>
      <c r="C16" s="28"/>
      <c r="D16" s="25"/>
      <c r="E16" s="5"/>
      <c r="G16" s="28"/>
      <c r="H16" s="21"/>
      <c r="I16" s="13"/>
      <c r="J16" s="13"/>
      <c r="K16" s="13"/>
      <c r="L16" s="13"/>
      <c r="N16" s="29">
        <v>1</v>
      </c>
      <c r="O16" s="23"/>
      <c r="P16" s="52">
        <f t="shared" ref="P16:P20" si="12">COS(RADIANS(Q6-C6))</f>
        <v>-0.99026806874157036</v>
      </c>
      <c r="Q16" s="33"/>
      <c r="R16" s="26"/>
      <c r="S16" s="33"/>
      <c r="T16" s="33"/>
    </row>
    <row r="17" spans="1:25" ht="15.75" customHeight="1">
      <c r="A17" s="2" t="s">
        <v>5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23</v>
      </c>
      <c r="G17" s="14" t="s">
        <v>37</v>
      </c>
      <c r="N17" s="3">
        <v>2</v>
      </c>
      <c r="P17" s="52">
        <f t="shared" si="12"/>
        <v>0.99619469809174555</v>
      </c>
      <c r="Q17" s="33"/>
      <c r="R17" s="33"/>
      <c r="S17" s="33"/>
      <c r="T17" s="33"/>
      <c r="V17" s="58" t="s">
        <v>93</v>
      </c>
      <c r="W17" s="58"/>
      <c r="X17" s="62">
        <f>C3</f>
        <v>43664</v>
      </c>
      <c r="Y17" s="63">
        <f>B3</f>
        <v>0.56597222222222221</v>
      </c>
    </row>
    <row r="18" spans="1:25" ht="15.75" customHeight="1">
      <c r="A18" s="15" t="s">
        <v>24</v>
      </c>
      <c r="B18" s="30">
        <v>0.10087962962962962</v>
      </c>
      <c r="C18" s="30">
        <v>0.10087962962962962</v>
      </c>
      <c r="D18" s="30">
        <f>C18-C18</f>
        <v>0</v>
      </c>
      <c r="E18" s="13">
        <v>13.74315</v>
      </c>
      <c r="F18" s="30">
        <v>0.66685185185185181</v>
      </c>
      <c r="G18" s="33">
        <f>RANK(E18,E$18:E$21,0)</f>
        <v>1</v>
      </c>
      <c r="N18" s="3">
        <v>3</v>
      </c>
      <c r="P18" s="52">
        <f t="shared" si="12"/>
        <v>0.99452189536827329</v>
      </c>
      <c r="Q18" s="34"/>
      <c r="R18" s="33"/>
      <c r="S18" s="33"/>
      <c r="T18" s="33"/>
      <c r="V18" s="58" t="s">
        <v>27</v>
      </c>
      <c r="W18" s="58" t="s">
        <v>96</v>
      </c>
      <c r="X18" s="62">
        <f>X$17</f>
        <v>43664</v>
      </c>
      <c r="Y18" s="63">
        <f>VLOOKUP(V18,A$18:F$22,6,0)</f>
        <v>0.66671296296296301</v>
      </c>
    </row>
    <row r="19" spans="1:25" ht="15.75" customHeight="1">
      <c r="A19" s="15" t="s">
        <v>25</v>
      </c>
      <c r="B19" s="30">
        <v>0.10021990740740741</v>
      </c>
      <c r="C19" s="30">
        <v>0.10099537037037037</v>
      </c>
      <c r="D19" s="30">
        <f t="shared" ref="D19:D21" si="13">C19-C18</f>
        <v>1.1574074074074958E-4</v>
      </c>
      <c r="E19" s="13">
        <v>13.718579999999999</v>
      </c>
      <c r="F19" s="32">
        <v>0.66619212962962959</v>
      </c>
      <c r="G19" s="33">
        <f>RANK(E19,E$18:E$21,0)</f>
        <v>2</v>
      </c>
      <c r="N19" s="3">
        <v>4</v>
      </c>
      <c r="P19" s="52">
        <f t="shared" si="12"/>
        <v>-0.99452189536827329</v>
      </c>
      <c r="Q19" s="34"/>
      <c r="R19" s="33"/>
      <c r="S19" s="33"/>
      <c r="T19" s="33"/>
      <c r="V19" s="58" t="s">
        <v>38</v>
      </c>
      <c r="W19" s="58" t="s">
        <v>98</v>
      </c>
      <c r="X19" s="62">
        <f t="shared" ref="X19:X22" si="14">X$17</f>
        <v>43664</v>
      </c>
      <c r="Y19" s="63" t="str">
        <f t="shared" ref="Y19:Y22" si="15">VLOOKUP(V19,A$18:F$22,6,0)</f>
        <v>DNS</v>
      </c>
    </row>
    <row r="20" spans="1:25" ht="15.75" customHeight="1">
      <c r="A20" s="15" t="s">
        <v>26</v>
      </c>
      <c r="B20" s="30">
        <v>0.11163194444444445</v>
      </c>
      <c r="C20" s="30">
        <v>0.10589120370370371</v>
      </c>
      <c r="D20" s="30">
        <f t="shared" si="13"/>
        <v>4.8958333333333354E-3</v>
      </c>
      <c r="E20" s="13">
        <v>12.866680000000001</v>
      </c>
      <c r="F20" s="30">
        <v>0.67760416666666667</v>
      </c>
      <c r="G20" s="33">
        <f>RANK(E20,E$18:E$21,0)</f>
        <v>3</v>
      </c>
      <c r="N20" s="3">
        <v>5</v>
      </c>
      <c r="P20" s="52">
        <f t="shared" si="12"/>
        <v>-0.99619469809174555</v>
      </c>
      <c r="Q20" s="50"/>
      <c r="R20" s="33"/>
      <c r="S20" s="33"/>
      <c r="T20" s="33"/>
      <c r="V20" s="58" t="s">
        <v>24</v>
      </c>
      <c r="W20" s="58" t="s">
        <v>94</v>
      </c>
      <c r="X20" s="62">
        <f t="shared" si="14"/>
        <v>43664</v>
      </c>
      <c r="Y20" s="63">
        <f t="shared" si="15"/>
        <v>0.66685185185185181</v>
      </c>
    </row>
    <row r="21" spans="1:25" ht="15.75" customHeight="1">
      <c r="A21" s="15" t="s">
        <v>27</v>
      </c>
      <c r="B21" s="30">
        <v>0.10074074074074074</v>
      </c>
      <c r="C21" s="30">
        <v>0.11008101851851852</v>
      </c>
      <c r="D21" s="30">
        <f t="shared" si="13"/>
        <v>4.1898148148148129E-3</v>
      </c>
      <c r="E21" s="13">
        <v>12.293530000000001</v>
      </c>
      <c r="F21" s="32">
        <v>0.66671296296296301</v>
      </c>
      <c r="G21" s="33">
        <f>RANK(E21,E$18:E$21,0)</f>
        <v>4</v>
      </c>
      <c r="I21" s="15"/>
      <c r="J21" s="15"/>
      <c r="K21" s="35"/>
      <c r="P21" s="33"/>
      <c r="Q21" s="33"/>
      <c r="R21" s="33"/>
      <c r="S21" s="33"/>
      <c r="T21" s="33"/>
      <c r="V21" s="58" t="s">
        <v>25</v>
      </c>
      <c r="W21" s="58" t="s">
        <v>95</v>
      </c>
      <c r="X21" s="62">
        <f t="shared" si="14"/>
        <v>43664</v>
      </c>
      <c r="Y21" s="63">
        <f t="shared" si="15"/>
        <v>0.66619212962962959</v>
      </c>
    </row>
    <row r="22" spans="1:25" ht="15.75" customHeight="1">
      <c r="A22" s="15" t="s">
        <v>38</v>
      </c>
      <c r="B22" s="13" t="s">
        <v>47</v>
      </c>
      <c r="C22" s="30"/>
      <c r="D22" s="13"/>
      <c r="E22" s="36"/>
      <c r="F22" s="13" t="s">
        <v>47</v>
      </c>
      <c r="G22" s="34">
        <v>6</v>
      </c>
      <c r="I22" s="15"/>
      <c r="J22" s="15"/>
      <c r="K22" s="35"/>
      <c r="P22" s="51"/>
      <c r="Q22" s="33"/>
      <c r="R22" s="33"/>
      <c r="S22" s="33"/>
      <c r="T22" s="33"/>
      <c r="V22" s="58" t="s">
        <v>26</v>
      </c>
      <c r="W22" s="58" t="s">
        <v>97</v>
      </c>
      <c r="X22" s="62">
        <f t="shared" si="14"/>
        <v>43664</v>
      </c>
      <c r="Y22" s="63">
        <f t="shared" si="15"/>
        <v>0.67760416666666667</v>
      </c>
    </row>
    <row r="23" spans="1:25" ht="15.75" customHeight="1">
      <c r="I23" s="15"/>
      <c r="J23" s="15"/>
      <c r="K23" s="35"/>
      <c r="P23" s="33"/>
      <c r="Q23" s="33"/>
      <c r="R23" s="33"/>
      <c r="S23" s="33"/>
      <c r="T23" s="33"/>
    </row>
    <row r="24" spans="1:25" ht="15.75" customHeight="1">
      <c r="A24" s="15"/>
      <c r="B24" s="36"/>
      <c r="C24" s="36"/>
      <c r="D24" s="13"/>
      <c r="E24" s="36"/>
      <c r="F24" s="13"/>
      <c r="G24" s="36"/>
      <c r="H24" s="34"/>
      <c r="I24" s="15"/>
      <c r="J24" s="15"/>
      <c r="K24" s="35"/>
      <c r="Q24" s="33"/>
      <c r="R24" s="33"/>
      <c r="S24" s="33"/>
      <c r="T24" s="33"/>
    </row>
    <row r="25" spans="1:25" ht="15.75" customHeight="1">
      <c r="I25" s="15"/>
      <c r="J25" s="13"/>
      <c r="P25" s="33"/>
      <c r="Q25" s="33"/>
      <c r="R25" s="33"/>
      <c r="S25" s="33"/>
      <c r="T25" s="33"/>
    </row>
    <row r="26" spans="1:25" ht="15.75" customHeight="1">
      <c r="P26" s="33"/>
      <c r="Q26" s="33"/>
      <c r="R26" s="33"/>
      <c r="S26" s="33"/>
      <c r="T26" s="33"/>
    </row>
    <row r="27" spans="1:25" ht="15.75" customHeight="1">
      <c r="A27" s="15"/>
      <c r="B27" s="5"/>
      <c r="C27" s="5"/>
      <c r="D27" s="5"/>
      <c r="E27" s="5"/>
      <c r="F27" s="5"/>
      <c r="P27" s="33"/>
      <c r="Q27" s="33"/>
      <c r="R27" s="33"/>
      <c r="S27" s="33"/>
      <c r="T27" s="33"/>
    </row>
    <row r="28" spans="1:25" ht="15.75" customHeight="1">
      <c r="A28" s="15"/>
      <c r="B28" s="5"/>
      <c r="C28" s="5"/>
      <c r="D28" s="5"/>
      <c r="E28" s="5"/>
      <c r="F28" s="5"/>
      <c r="P28" s="33"/>
      <c r="Q28" s="33"/>
      <c r="R28" s="33"/>
      <c r="S28" s="33"/>
      <c r="T28" s="33"/>
    </row>
    <row r="29" spans="1:25" ht="15.75" customHeight="1">
      <c r="B29" s="5"/>
      <c r="C29" s="5"/>
      <c r="D29" s="5"/>
      <c r="E29" s="5"/>
      <c r="F29" s="5"/>
      <c r="P29" s="33"/>
      <c r="Q29" s="33"/>
      <c r="R29" s="33"/>
      <c r="S29" s="33"/>
      <c r="T29" s="33"/>
    </row>
    <row r="30" spans="1:25" ht="15.75" customHeight="1">
      <c r="B30" s="5"/>
      <c r="C30" s="5"/>
      <c r="D30" s="5"/>
      <c r="E30" s="5"/>
      <c r="F30" s="5"/>
      <c r="P30" s="33"/>
      <c r="Q30" s="33"/>
      <c r="R30" s="33"/>
      <c r="S30" s="33"/>
      <c r="T30" s="33"/>
    </row>
    <row r="31" spans="1:25" ht="15.75" customHeight="1">
      <c r="B31" s="5"/>
      <c r="C31" s="5"/>
      <c r="D31" s="5"/>
      <c r="E31" s="5"/>
      <c r="F31" s="5"/>
      <c r="P31" s="33"/>
      <c r="Q31" s="33"/>
      <c r="R31" s="33"/>
      <c r="S31" s="33"/>
      <c r="T31" s="33"/>
    </row>
    <row r="32" spans="1:25" ht="15.75" customHeight="1">
      <c r="B32" s="5"/>
      <c r="C32" s="5"/>
      <c r="D32" s="5"/>
      <c r="E32" s="5"/>
      <c r="F32" s="5"/>
      <c r="P32" s="33"/>
      <c r="Q32" s="33"/>
      <c r="R32" s="33"/>
      <c r="S32" s="33"/>
      <c r="T32" s="33"/>
    </row>
    <row r="33" spans="2:20" ht="15.75" customHeight="1">
      <c r="B33" s="5"/>
      <c r="C33" s="5"/>
      <c r="D33" s="5"/>
      <c r="E33" s="5"/>
      <c r="F33" s="5"/>
      <c r="P33" s="33"/>
      <c r="Q33" s="33"/>
      <c r="R33" s="33"/>
      <c r="S33" s="33"/>
      <c r="T33" s="33"/>
    </row>
    <row r="34" spans="2:20" ht="15.75" customHeight="1">
      <c r="B34" s="5"/>
      <c r="C34" s="5"/>
      <c r="D34" s="5"/>
      <c r="E34" s="5"/>
      <c r="F34" s="5"/>
      <c r="P34" s="33"/>
      <c r="Q34" s="33"/>
      <c r="R34" s="33"/>
      <c r="S34" s="33"/>
      <c r="T34" s="33"/>
    </row>
    <row r="35" spans="2:20" ht="15.75" customHeight="1">
      <c r="B35" s="5"/>
      <c r="C35" s="5"/>
      <c r="D35" s="5"/>
      <c r="E35" s="5"/>
      <c r="F35" s="5"/>
      <c r="P35" s="33"/>
      <c r="Q35" s="33"/>
      <c r="R35" s="33"/>
      <c r="S35" s="33"/>
      <c r="T35" s="33"/>
    </row>
    <row r="36" spans="2:20" ht="15.75" customHeight="1">
      <c r="B36" s="5"/>
      <c r="C36" s="5"/>
      <c r="D36" s="5"/>
      <c r="E36" s="5"/>
      <c r="F36" s="5"/>
      <c r="P36" s="33"/>
      <c r="Q36" s="33"/>
      <c r="R36" s="33"/>
      <c r="S36" s="33"/>
      <c r="T36" s="33"/>
    </row>
    <row r="37" spans="2:20" ht="15.75" customHeight="1">
      <c r="B37" s="5"/>
      <c r="C37" s="5"/>
      <c r="D37" s="5"/>
      <c r="E37" s="5"/>
      <c r="F37" s="5"/>
      <c r="P37" s="33"/>
      <c r="Q37" s="33"/>
      <c r="R37" s="33"/>
      <c r="S37" s="33"/>
      <c r="T37" s="33"/>
    </row>
    <row r="38" spans="2:20" ht="15.75" customHeight="1">
      <c r="B38" s="5"/>
      <c r="C38" s="5"/>
      <c r="D38" s="5"/>
      <c r="E38" s="5"/>
      <c r="F38" s="5"/>
      <c r="P38" s="33"/>
      <c r="Q38" s="33"/>
      <c r="R38" s="33"/>
      <c r="S38" s="33"/>
      <c r="T38" s="33"/>
    </row>
    <row r="39" spans="2:20" ht="15.75" customHeight="1">
      <c r="B39" s="5"/>
      <c r="C39" s="5"/>
      <c r="D39" s="5"/>
      <c r="E39" s="5"/>
      <c r="F39" s="5"/>
      <c r="P39" s="33"/>
      <c r="Q39" s="33"/>
      <c r="R39" s="33"/>
      <c r="S39" s="33"/>
      <c r="T39" s="33"/>
    </row>
    <row r="40" spans="2:20" ht="15.75" customHeight="1">
      <c r="B40" s="5"/>
      <c r="C40" s="5"/>
      <c r="D40" s="5"/>
      <c r="E40" s="5"/>
      <c r="F40" s="5"/>
      <c r="P40" s="33"/>
      <c r="Q40" s="33"/>
      <c r="R40" s="33"/>
      <c r="S40" s="33"/>
      <c r="T40" s="33"/>
    </row>
    <row r="41" spans="2:20" ht="15.75" customHeight="1">
      <c r="B41" s="5"/>
      <c r="C41" s="5"/>
      <c r="D41" s="5"/>
      <c r="E41" s="5"/>
      <c r="F41" s="5"/>
      <c r="P41" s="33"/>
      <c r="Q41" s="33"/>
      <c r="R41" s="33"/>
      <c r="S41" s="33"/>
      <c r="T41" s="33"/>
    </row>
    <row r="42" spans="2:20" ht="15.75" customHeight="1">
      <c r="B42" s="5"/>
      <c r="C42" s="5"/>
      <c r="D42" s="5"/>
      <c r="E42" s="5"/>
      <c r="F42" s="5"/>
      <c r="P42" s="33"/>
      <c r="Q42" s="33"/>
      <c r="R42" s="33"/>
      <c r="S42" s="33"/>
      <c r="T42" s="33"/>
    </row>
    <row r="43" spans="2:20" ht="15.75" customHeight="1">
      <c r="B43" s="5"/>
      <c r="C43" s="5"/>
      <c r="D43" s="5"/>
      <c r="E43" s="5"/>
      <c r="F43" s="5"/>
      <c r="P43" s="33"/>
      <c r="Q43" s="33"/>
      <c r="R43" s="33"/>
      <c r="S43" s="33"/>
      <c r="T43" s="33"/>
    </row>
    <row r="44" spans="2:20" ht="15.75" customHeight="1">
      <c r="B44" s="5"/>
      <c r="C44" s="5"/>
      <c r="D44" s="5"/>
      <c r="E44" s="5"/>
      <c r="F44" s="5"/>
      <c r="P44" s="33"/>
      <c r="Q44" s="33"/>
      <c r="R44" s="33"/>
      <c r="S44" s="33"/>
      <c r="T44" s="33"/>
    </row>
    <row r="45" spans="2:20" ht="15.75" customHeight="1">
      <c r="B45" s="5"/>
      <c r="C45" s="5"/>
      <c r="D45" s="5"/>
      <c r="E45" s="5"/>
      <c r="F45" s="5"/>
      <c r="P45" s="33"/>
      <c r="Q45" s="33"/>
      <c r="R45" s="33"/>
      <c r="S45" s="33"/>
      <c r="T45" s="33"/>
    </row>
    <row r="46" spans="2:20" ht="15.75" customHeight="1">
      <c r="B46" s="5"/>
      <c r="C46" s="5"/>
      <c r="D46" s="5"/>
      <c r="E46" s="5"/>
      <c r="F46" s="5"/>
      <c r="P46" s="33"/>
      <c r="Q46" s="33"/>
      <c r="R46" s="33"/>
      <c r="S46" s="33"/>
      <c r="T46" s="33"/>
    </row>
    <row r="47" spans="2:20" ht="15.75" customHeight="1">
      <c r="B47" s="5"/>
      <c r="C47" s="5"/>
      <c r="D47" s="5"/>
      <c r="E47" s="5"/>
      <c r="F47" s="5"/>
      <c r="P47" s="33"/>
      <c r="Q47" s="33"/>
      <c r="R47" s="33"/>
      <c r="S47" s="33"/>
      <c r="T47" s="33"/>
    </row>
    <row r="48" spans="2:20" ht="15.75" customHeight="1">
      <c r="B48" s="5"/>
      <c r="C48" s="5"/>
      <c r="D48" s="5"/>
      <c r="E48" s="5"/>
      <c r="F48" s="5"/>
      <c r="P48" s="33"/>
      <c r="Q48" s="33"/>
      <c r="R48" s="33"/>
      <c r="S48" s="33"/>
      <c r="T48" s="33"/>
    </row>
    <row r="49" spans="2:20" ht="15.75" customHeight="1">
      <c r="B49" s="5"/>
      <c r="C49" s="5"/>
      <c r="D49" s="5"/>
      <c r="E49" s="5"/>
      <c r="F49" s="5"/>
      <c r="P49" s="33"/>
      <c r="Q49" s="33"/>
      <c r="R49" s="33"/>
      <c r="S49" s="33"/>
      <c r="T49" s="33"/>
    </row>
    <row r="50" spans="2:20" ht="15.75" customHeight="1">
      <c r="B50" s="5"/>
      <c r="C50" s="5"/>
      <c r="D50" s="5"/>
      <c r="E50" s="5"/>
      <c r="F50" s="5"/>
      <c r="P50" s="33"/>
      <c r="Q50" s="33"/>
      <c r="R50" s="33"/>
      <c r="S50" s="33"/>
      <c r="T50" s="33"/>
    </row>
    <row r="51" spans="2:20" ht="15.75" customHeight="1">
      <c r="B51" s="5"/>
      <c r="C51" s="5"/>
      <c r="D51" s="5"/>
      <c r="E51" s="5"/>
      <c r="F51" s="5"/>
      <c r="P51" s="33"/>
      <c r="Q51" s="33"/>
      <c r="R51" s="33"/>
      <c r="S51" s="33"/>
      <c r="T51" s="33"/>
    </row>
    <row r="52" spans="2:20" ht="15.75" customHeight="1">
      <c r="B52" s="5"/>
      <c r="C52" s="5"/>
      <c r="D52" s="5"/>
      <c r="E52" s="5"/>
      <c r="F52" s="5"/>
      <c r="P52" s="33"/>
      <c r="Q52" s="33"/>
      <c r="R52" s="33"/>
      <c r="S52" s="33"/>
      <c r="T52" s="33"/>
    </row>
    <row r="53" spans="2:20" ht="15.75" customHeight="1">
      <c r="B53" s="5"/>
      <c r="C53" s="5"/>
      <c r="D53" s="5"/>
      <c r="E53" s="5"/>
      <c r="F53" s="5"/>
      <c r="P53" s="33"/>
      <c r="Q53" s="33"/>
      <c r="R53" s="33"/>
      <c r="S53" s="33"/>
      <c r="T53" s="33"/>
    </row>
    <row r="54" spans="2:20" ht="15.75" customHeight="1">
      <c r="B54" s="5"/>
      <c r="C54" s="5"/>
      <c r="D54" s="5"/>
      <c r="E54" s="5"/>
      <c r="F54" s="5"/>
      <c r="P54" s="33"/>
      <c r="Q54" s="33"/>
      <c r="R54" s="33"/>
      <c r="S54" s="33"/>
      <c r="T54" s="33"/>
    </row>
    <row r="55" spans="2:20" ht="15.75" customHeight="1">
      <c r="B55" s="5"/>
      <c r="C55" s="5"/>
      <c r="D55" s="5"/>
      <c r="E55" s="5"/>
      <c r="F55" s="5"/>
      <c r="P55" s="33"/>
      <c r="Q55" s="33"/>
      <c r="R55" s="33"/>
      <c r="S55" s="33"/>
      <c r="T55" s="33"/>
    </row>
    <row r="56" spans="2:20" ht="15.75" customHeight="1">
      <c r="B56" s="5"/>
      <c r="C56" s="5"/>
      <c r="D56" s="5"/>
      <c r="E56" s="5"/>
      <c r="F56" s="5"/>
      <c r="P56" s="33"/>
      <c r="Q56" s="33"/>
      <c r="R56" s="33"/>
      <c r="S56" s="33"/>
      <c r="T56" s="33"/>
    </row>
    <row r="57" spans="2:20" ht="15.75" customHeight="1">
      <c r="B57" s="5"/>
      <c r="C57" s="5"/>
      <c r="D57" s="5"/>
      <c r="E57" s="5"/>
      <c r="F57" s="5"/>
      <c r="P57" s="33"/>
      <c r="Q57" s="33"/>
      <c r="R57" s="33"/>
      <c r="S57" s="33"/>
      <c r="T57" s="33"/>
    </row>
    <row r="58" spans="2:20" ht="15.75" customHeight="1">
      <c r="B58" s="5"/>
      <c r="C58" s="5"/>
      <c r="D58" s="5"/>
      <c r="E58" s="5"/>
      <c r="F58" s="5"/>
      <c r="P58" s="33"/>
      <c r="Q58" s="33"/>
      <c r="R58" s="33"/>
      <c r="S58" s="33"/>
      <c r="T58" s="33"/>
    </row>
    <row r="59" spans="2:20" ht="15.75" customHeight="1">
      <c r="B59" s="5"/>
      <c r="C59" s="5"/>
      <c r="D59" s="5"/>
      <c r="E59" s="5"/>
      <c r="F59" s="5"/>
      <c r="P59" s="33"/>
      <c r="Q59" s="33"/>
      <c r="R59" s="33"/>
      <c r="S59" s="33"/>
      <c r="T59" s="33"/>
    </row>
    <row r="60" spans="2:20" ht="15.75" customHeight="1">
      <c r="B60" s="5"/>
      <c r="C60" s="5"/>
      <c r="D60" s="5"/>
      <c r="E60" s="5"/>
      <c r="F60" s="5"/>
      <c r="P60" s="33"/>
      <c r="Q60" s="33"/>
      <c r="R60" s="33"/>
      <c r="S60" s="33"/>
      <c r="T60" s="33"/>
    </row>
    <row r="61" spans="2:20" ht="15.75" customHeight="1">
      <c r="B61" s="5"/>
      <c r="C61" s="5"/>
      <c r="D61" s="5"/>
      <c r="E61" s="5"/>
      <c r="F61" s="5"/>
      <c r="P61" s="33"/>
      <c r="Q61" s="33"/>
      <c r="R61" s="33"/>
      <c r="S61" s="33"/>
      <c r="T61" s="33"/>
    </row>
    <row r="62" spans="2:20" ht="15.75" customHeight="1">
      <c r="B62" s="5"/>
      <c r="C62" s="5"/>
      <c r="D62" s="5"/>
      <c r="E62" s="5"/>
      <c r="F62" s="5"/>
      <c r="P62" s="33"/>
      <c r="Q62" s="33"/>
      <c r="R62" s="33"/>
      <c r="S62" s="33"/>
      <c r="T62" s="33"/>
    </row>
    <row r="63" spans="2:20" ht="15.75" customHeight="1">
      <c r="B63" s="5"/>
      <c r="C63" s="5"/>
      <c r="D63" s="5"/>
      <c r="E63" s="5"/>
      <c r="F63" s="5"/>
      <c r="P63" s="33"/>
      <c r="Q63" s="33"/>
      <c r="R63" s="33"/>
      <c r="S63" s="33"/>
      <c r="T63" s="33"/>
    </row>
    <row r="64" spans="2:20" ht="15.75" customHeight="1">
      <c r="B64" s="5"/>
      <c r="C64" s="5"/>
      <c r="D64" s="5"/>
      <c r="E64" s="5"/>
      <c r="F64" s="5"/>
      <c r="P64" s="33"/>
      <c r="Q64" s="33"/>
      <c r="R64" s="33"/>
      <c r="S64" s="33"/>
      <c r="T64" s="33"/>
    </row>
    <row r="65" spans="2:20" ht="15.75" customHeight="1">
      <c r="B65" s="5"/>
      <c r="C65" s="5"/>
      <c r="D65" s="5"/>
      <c r="E65" s="5"/>
      <c r="F65" s="5"/>
      <c r="P65" s="33"/>
      <c r="Q65" s="33"/>
      <c r="R65" s="33"/>
      <c r="S65" s="33"/>
      <c r="T65" s="33"/>
    </row>
    <row r="66" spans="2:20" ht="15.75" customHeight="1">
      <c r="B66" s="5"/>
      <c r="C66" s="5"/>
      <c r="D66" s="5"/>
      <c r="E66" s="5"/>
      <c r="F66" s="5"/>
      <c r="P66" s="33"/>
      <c r="Q66" s="33"/>
      <c r="R66" s="33"/>
      <c r="S66" s="33"/>
      <c r="T66" s="33"/>
    </row>
    <row r="67" spans="2:20" ht="15.75" customHeight="1">
      <c r="B67" s="5"/>
      <c r="C67" s="5"/>
      <c r="D67" s="5"/>
      <c r="E67" s="5"/>
      <c r="F67" s="5"/>
      <c r="P67" s="33"/>
      <c r="Q67" s="33"/>
      <c r="R67" s="33"/>
      <c r="S67" s="33"/>
      <c r="T67" s="33"/>
    </row>
    <row r="68" spans="2:20" ht="15.75" customHeight="1">
      <c r="B68" s="5"/>
      <c r="C68" s="5"/>
      <c r="D68" s="5"/>
      <c r="E68" s="5"/>
      <c r="F68" s="5"/>
      <c r="P68" s="33"/>
      <c r="Q68" s="33"/>
      <c r="R68" s="33"/>
      <c r="S68" s="33"/>
      <c r="T68" s="33"/>
    </row>
    <row r="69" spans="2:20" ht="15.75" customHeight="1">
      <c r="B69" s="5"/>
      <c r="C69" s="5"/>
      <c r="D69" s="5"/>
      <c r="E69" s="5"/>
      <c r="F69" s="5"/>
      <c r="P69" s="33"/>
      <c r="Q69" s="33"/>
      <c r="R69" s="33"/>
      <c r="S69" s="33"/>
      <c r="T69" s="33"/>
    </row>
    <row r="70" spans="2:20" ht="15.75" customHeight="1">
      <c r="B70" s="5"/>
      <c r="C70" s="5"/>
      <c r="D70" s="5"/>
      <c r="E70" s="5"/>
      <c r="F70" s="5"/>
      <c r="P70" s="33"/>
      <c r="Q70" s="33"/>
      <c r="R70" s="33"/>
      <c r="S70" s="33"/>
      <c r="T70" s="33"/>
    </row>
    <row r="71" spans="2:20" ht="15.75" customHeight="1">
      <c r="B71" s="5"/>
      <c r="C71" s="5"/>
      <c r="D71" s="5"/>
      <c r="E71" s="5"/>
      <c r="F71" s="5"/>
      <c r="P71" s="33"/>
      <c r="Q71" s="33"/>
      <c r="R71" s="33"/>
      <c r="S71" s="33"/>
      <c r="T71" s="33"/>
    </row>
    <row r="72" spans="2:20" ht="15.75" customHeight="1">
      <c r="B72" s="5"/>
      <c r="C72" s="5"/>
      <c r="D72" s="5"/>
      <c r="E72" s="5"/>
      <c r="F72" s="5"/>
      <c r="P72" s="33"/>
      <c r="Q72" s="33"/>
      <c r="R72" s="33"/>
      <c r="S72" s="33"/>
      <c r="T72" s="33"/>
    </row>
    <row r="73" spans="2:20" ht="15.75" customHeight="1">
      <c r="B73" s="5"/>
      <c r="C73" s="5"/>
      <c r="D73" s="5"/>
      <c r="E73" s="5"/>
      <c r="F73" s="5"/>
      <c r="P73" s="33"/>
      <c r="Q73" s="33"/>
      <c r="R73" s="33"/>
      <c r="S73" s="33"/>
      <c r="T73" s="33"/>
    </row>
    <row r="74" spans="2:20" ht="15.75" customHeight="1">
      <c r="B74" s="5"/>
      <c r="C74" s="5"/>
      <c r="D74" s="5"/>
      <c r="E74" s="5"/>
      <c r="F74" s="5"/>
      <c r="P74" s="33"/>
      <c r="Q74" s="33"/>
      <c r="R74" s="33"/>
      <c r="S74" s="33"/>
      <c r="T74" s="33"/>
    </row>
    <row r="75" spans="2:20" ht="15.75" customHeight="1">
      <c r="B75" s="5"/>
      <c r="C75" s="5"/>
      <c r="D75" s="5"/>
      <c r="E75" s="5"/>
      <c r="F75" s="5"/>
      <c r="P75" s="33"/>
      <c r="Q75" s="33"/>
      <c r="R75" s="33"/>
      <c r="S75" s="33"/>
      <c r="T75" s="33"/>
    </row>
    <row r="76" spans="2:20" ht="15.75" customHeight="1">
      <c r="B76" s="5"/>
      <c r="C76" s="5"/>
      <c r="D76" s="5"/>
      <c r="E76" s="5"/>
      <c r="F76" s="5"/>
      <c r="P76" s="33"/>
      <c r="Q76" s="33"/>
      <c r="R76" s="33"/>
      <c r="S76" s="33"/>
      <c r="T76" s="33"/>
    </row>
    <row r="77" spans="2:20" ht="15.75" customHeight="1">
      <c r="B77" s="5"/>
      <c r="C77" s="5"/>
      <c r="D77" s="5"/>
      <c r="E77" s="5"/>
      <c r="F77" s="5"/>
      <c r="P77" s="33"/>
      <c r="Q77" s="33"/>
      <c r="R77" s="33"/>
      <c r="S77" s="33"/>
      <c r="T77" s="33"/>
    </row>
    <row r="78" spans="2:20" ht="15.75" customHeight="1">
      <c r="B78" s="5"/>
      <c r="C78" s="5"/>
      <c r="D78" s="5"/>
      <c r="E78" s="5"/>
      <c r="F78" s="5"/>
      <c r="P78" s="33"/>
      <c r="Q78" s="33"/>
      <c r="R78" s="33"/>
      <c r="S78" s="33"/>
      <c r="T78" s="33"/>
    </row>
    <row r="79" spans="2:20" ht="15.75" customHeight="1">
      <c r="B79" s="5"/>
      <c r="C79" s="5"/>
      <c r="D79" s="5"/>
      <c r="E79" s="5"/>
      <c r="F79" s="5"/>
      <c r="P79" s="33"/>
      <c r="Q79" s="33"/>
      <c r="R79" s="33"/>
      <c r="S79" s="33"/>
      <c r="T79" s="33"/>
    </row>
    <row r="80" spans="2:20" ht="15.75" customHeight="1">
      <c r="B80" s="5"/>
      <c r="C80" s="5"/>
      <c r="D80" s="5"/>
      <c r="E80" s="5"/>
      <c r="F80" s="5"/>
      <c r="P80" s="33"/>
      <c r="Q80" s="33"/>
      <c r="R80" s="33"/>
      <c r="S80" s="33"/>
      <c r="T80" s="33"/>
    </row>
    <row r="81" spans="2:20" ht="15.75" customHeight="1">
      <c r="B81" s="5"/>
      <c r="C81" s="5"/>
      <c r="D81" s="5"/>
      <c r="E81" s="5"/>
      <c r="F81" s="5"/>
      <c r="P81" s="33"/>
      <c r="Q81" s="33"/>
      <c r="R81" s="33"/>
      <c r="S81" s="33"/>
      <c r="T81" s="33"/>
    </row>
    <row r="82" spans="2:20" ht="15.75" customHeight="1">
      <c r="B82" s="5"/>
      <c r="C82" s="5"/>
      <c r="D82" s="5"/>
      <c r="E82" s="5"/>
      <c r="F82" s="5"/>
      <c r="P82" s="33"/>
      <c r="Q82" s="33"/>
      <c r="R82" s="33"/>
      <c r="S82" s="33"/>
      <c r="T82" s="33"/>
    </row>
    <row r="83" spans="2:20" ht="15.75" customHeight="1">
      <c r="B83" s="5"/>
      <c r="C83" s="5"/>
      <c r="D83" s="5"/>
      <c r="E83" s="5"/>
      <c r="F83" s="5"/>
      <c r="P83" s="33"/>
      <c r="Q83" s="33"/>
      <c r="R83" s="33"/>
      <c r="S83" s="33"/>
      <c r="T83" s="33"/>
    </row>
    <row r="84" spans="2:20" ht="15.75" customHeight="1">
      <c r="B84" s="5"/>
      <c r="C84" s="5"/>
      <c r="D84" s="5"/>
      <c r="E84" s="5"/>
      <c r="F84" s="5"/>
      <c r="P84" s="33"/>
      <c r="Q84" s="33"/>
      <c r="R84" s="33"/>
      <c r="S84" s="33"/>
      <c r="T84" s="33"/>
    </row>
    <row r="85" spans="2:20" ht="15.75" customHeight="1">
      <c r="B85" s="5"/>
      <c r="C85" s="5"/>
      <c r="D85" s="5"/>
      <c r="E85" s="5"/>
      <c r="F85" s="5"/>
      <c r="P85" s="33"/>
      <c r="Q85" s="33"/>
      <c r="R85" s="33"/>
      <c r="S85" s="33"/>
      <c r="T85" s="33"/>
    </row>
    <row r="86" spans="2:20" ht="15.75" customHeight="1">
      <c r="B86" s="5"/>
      <c r="C86" s="5"/>
      <c r="D86" s="5"/>
      <c r="E86" s="5"/>
      <c r="F86" s="5"/>
      <c r="P86" s="33"/>
      <c r="Q86" s="33"/>
      <c r="R86" s="33"/>
      <c r="S86" s="33"/>
      <c r="T86" s="33"/>
    </row>
    <row r="87" spans="2:20" ht="15.75" customHeight="1">
      <c r="B87" s="5"/>
      <c r="C87" s="5"/>
      <c r="D87" s="5"/>
      <c r="E87" s="5"/>
      <c r="F87" s="5"/>
      <c r="P87" s="33"/>
      <c r="Q87" s="33"/>
      <c r="R87" s="33"/>
      <c r="S87" s="33"/>
      <c r="T87" s="33"/>
    </row>
    <row r="88" spans="2:20" ht="15.75" customHeight="1">
      <c r="B88" s="5"/>
      <c r="C88" s="5"/>
      <c r="D88" s="5"/>
      <c r="E88" s="5"/>
      <c r="F88" s="5"/>
      <c r="P88" s="33"/>
      <c r="Q88" s="33"/>
      <c r="R88" s="33"/>
      <c r="S88" s="33"/>
      <c r="T88" s="33"/>
    </row>
    <row r="89" spans="2:20" ht="15.75" customHeight="1">
      <c r="B89" s="5"/>
      <c r="C89" s="5"/>
      <c r="D89" s="5"/>
      <c r="E89" s="5"/>
      <c r="F89" s="5"/>
      <c r="P89" s="33"/>
      <c r="Q89" s="33"/>
      <c r="R89" s="33"/>
      <c r="S89" s="33"/>
      <c r="T89" s="33"/>
    </row>
    <row r="90" spans="2:20" ht="15.75" customHeight="1">
      <c r="B90" s="5"/>
      <c r="C90" s="5"/>
      <c r="D90" s="5"/>
      <c r="E90" s="5"/>
      <c r="F90" s="5"/>
      <c r="P90" s="33"/>
      <c r="Q90" s="33"/>
      <c r="R90" s="33"/>
      <c r="S90" s="33"/>
      <c r="T90" s="33"/>
    </row>
    <row r="91" spans="2:20" ht="15.75" customHeight="1">
      <c r="B91" s="5"/>
      <c r="C91" s="5"/>
      <c r="D91" s="5"/>
      <c r="E91" s="5"/>
      <c r="F91" s="5"/>
      <c r="P91" s="33"/>
      <c r="Q91" s="33"/>
      <c r="R91" s="33"/>
      <c r="S91" s="33"/>
      <c r="T91" s="33"/>
    </row>
    <row r="92" spans="2:20" ht="15.75" customHeight="1">
      <c r="B92" s="5"/>
      <c r="C92" s="5"/>
      <c r="D92" s="5"/>
      <c r="E92" s="5"/>
      <c r="F92" s="5"/>
      <c r="P92" s="33"/>
      <c r="Q92" s="33"/>
      <c r="R92" s="33"/>
      <c r="S92" s="33"/>
      <c r="T92" s="33"/>
    </row>
    <row r="93" spans="2:20" ht="15.75" customHeight="1">
      <c r="B93" s="5"/>
      <c r="C93" s="5"/>
      <c r="D93" s="5"/>
      <c r="E93" s="5"/>
      <c r="F93" s="5"/>
      <c r="P93" s="33"/>
      <c r="Q93" s="33"/>
      <c r="R93" s="33"/>
      <c r="S93" s="33"/>
      <c r="T93" s="33"/>
    </row>
    <row r="94" spans="2:20" ht="15.75" customHeight="1">
      <c r="B94" s="5"/>
      <c r="C94" s="5"/>
      <c r="D94" s="5"/>
      <c r="E94" s="5"/>
      <c r="F94" s="5"/>
      <c r="P94" s="33"/>
      <c r="Q94" s="33"/>
      <c r="R94" s="33"/>
      <c r="S94" s="33"/>
      <c r="T94" s="33"/>
    </row>
    <row r="95" spans="2:20" ht="15.75" customHeight="1">
      <c r="B95" s="5"/>
      <c r="C95" s="5"/>
      <c r="D95" s="5"/>
      <c r="E95" s="5"/>
      <c r="F95" s="5"/>
      <c r="P95" s="33"/>
      <c r="Q95" s="33"/>
      <c r="R95" s="33"/>
      <c r="S95" s="33"/>
      <c r="T95" s="33"/>
    </row>
    <row r="96" spans="2:20" ht="15.75" customHeight="1">
      <c r="B96" s="5"/>
      <c r="C96" s="5"/>
      <c r="D96" s="5"/>
      <c r="E96" s="5"/>
      <c r="F96" s="5"/>
      <c r="P96" s="33"/>
      <c r="Q96" s="33"/>
      <c r="R96" s="33"/>
      <c r="S96" s="33"/>
      <c r="T96" s="33"/>
    </row>
    <row r="97" spans="2:20" ht="15.75" customHeight="1">
      <c r="B97" s="5"/>
      <c r="C97" s="5"/>
      <c r="D97" s="5"/>
      <c r="E97" s="5"/>
      <c r="F97" s="5"/>
      <c r="P97" s="33"/>
      <c r="Q97" s="33"/>
      <c r="R97" s="33"/>
      <c r="S97" s="33"/>
      <c r="T97" s="33"/>
    </row>
    <row r="98" spans="2:20" ht="15.75" customHeight="1">
      <c r="B98" s="5"/>
      <c r="C98" s="5"/>
      <c r="D98" s="5"/>
      <c r="E98" s="5"/>
      <c r="F98" s="5"/>
      <c r="P98" s="33"/>
      <c r="Q98" s="33"/>
      <c r="R98" s="33"/>
      <c r="S98" s="33"/>
      <c r="T98" s="33"/>
    </row>
    <row r="99" spans="2:20" ht="15.75" customHeight="1">
      <c r="B99" s="5"/>
      <c r="C99" s="5"/>
      <c r="D99" s="5"/>
      <c r="E99" s="5"/>
      <c r="F99" s="5"/>
      <c r="P99" s="33"/>
      <c r="Q99" s="33"/>
      <c r="R99" s="33"/>
      <c r="S99" s="33"/>
      <c r="T99" s="33"/>
    </row>
    <row r="100" spans="2:20" ht="15.75" customHeight="1">
      <c r="B100" s="5"/>
      <c r="C100" s="5"/>
      <c r="D100" s="5"/>
      <c r="E100" s="5"/>
      <c r="F100" s="5"/>
      <c r="P100" s="33"/>
      <c r="Q100" s="33"/>
      <c r="R100" s="33"/>
      <c r="S100" s="33"/>
      <c r="T100" s="33"/>
    </row>
    <row r="101" spans="2:20" ht="15.75" customHeight="1">
      <c r="B101" s="5"/>
      <c r="C101" s="5"/>
      <c r="D101" s="5"/>
      <c r="E101" s="5"/>
      <c r="F101" s="5"/>
      <c r="P101" s="33"/>
      <c r="Q101" s="33"/>
      <c r="R101" s="33"/>
      <c r="S101" s="33"/>
      <c r="T101" s="33"/>
    </row>
    <row r="102" spans="2:20" ht="15.75" customHeight="1">
      <c r="B102" s="5"/>
      <c r="C102" s="5"/>
      <c r="D102" s="5"/>
      <c r="E102" s="5"/>
      <c r="F102" s="5"/>
      <c r="P102" s="33"/>
      <c r="Q102" s="33"/>
      <c r="R102" s="33"/>
      <c r="S102" s="33"/>
      <c r="T102" s="33"/>
    </row>
    <row r="103" spans="2:20" ht="15.75" customHeight="1">
      <c r="B103" s="5"/>
      <c r="C103" s="5"/>
      <c r="D103" s="5"/>
      <c r="E103" s="5"/>
      <c r="F103" s="5"/>
      <c r="P103" s="33"/>
      <c r="Q103" s="33"/>
      <c r="R103" s="33"/>
      <c r="S103" s="33"/>
      <c r="T103" s="33"/>
    </row>
    <row r="104" spans="2:20" ht="15.75" customHeight="1">
      <c r="B104" s="5"/>
      <c r="C104" s="5"/>
      <c r="D104" s="5"/>
      <c r="E104" s="5"/>
      <c r="F104" s="5"/>
      <c r="P104" s="33"/>
      <c r="Q104" s="33"/>
      <c r="R104" s="33"/>
      <c r="S104" s="33"/>
      <c r="T104" s="33"/>
    </row>
    <row r="105" spans="2:20" ht="15.75" customHeight="1">
      <c r="B105" s="5"/>
      <c r="C105" s="5"/>
      <c r="D105" s="5"/>
      <c r="E105" s="5"/>
      <c r="F105" s="5"/>
      <c r="P105" s="33"/>
      <c r="Q105" s="33"/>
      <c r="R105" s="33"/>
      <c r="S105" s="33"/>
      <c r="T105" s="33"/>
    </row>
    <row r="106" spans="2:20" ht="15.75" customHeight="1">
      <c r="B106" s="5"/>
      <c r="C106" s="5"/>
      <c r="D106" s="5"/>
      <c r="E106" s="5"/>
      <c r="F106" s="5"/>
      <c r="P106" s="33"/>
      <c r="Q106" s="33"/>
      <c r="R106" s="33"/>
      <c r="S106" s="33"/>
      <c r="T106" s="33"/>
    </row>
    <row r="107" spans="2:20" ht="15.75" customHeight="1">
      <c r="B107" s="5"/>
      <c r="C107" s="5"/>
      <c r="D107" s="5"/>
      <c r="E107" s="5"/>
      <c r="F107" s="5"/>
      <c r="P107" s="33"/>
      <c r="Q107" s="33"/>
      <c r="R107" s="33"/>
      <c r="S107" s="33"/>
      <c r="T107" s="33"/>
    </row>
    <row r="108" spans="2:20" ht="15.75" customHeight="1">
      <c r="B108" s="5"/>
      <c r="C108" s="5"/>
      <c r="D108" s="5"/>
      <c r="E108" s="5"/>
      <c r="F108" s="5"/>
      <c r="P108" s="33"/>
      <c r="Q108" s="33"/>
      <c r="R108" s="33"/>
      <c r="S108" s="33"/>
      <c r="T108" s="33"/>
    </row>
    <row r="109" spans="2:20" ht="15.75" customHeight="1">
      <c r="B109" s="5"/>
      <c r="C109" s="5"/>
      <c r="D109" s="5"/>
      <c r="E109" s="5"/>
      <c r="F109" s="5"/>
      <c r="P109" s="33"/>
      <c r="Q109" s="33"/>
      <c r="R109" s="33"/>
      <c r="S109" s="33"/>
      <c r="T109" s="33"/>
    </row>
    <row r="110" spans="2:20" ht="15.75" customHeight="1">
      <c r="B110" s="5"/>
      <c r="C110" s="5"/>
      <c r="D110" s="5"/>
      <c r="E110" s="5"/>
      <c r="F110" s="5"/>
      <c r="P110" s="33"/>
      <c r="Q110" s="33"/>
      <c r="R110" s="33"/>
      <c r="S110" s="33"/>
      <c r="T110" s="33"/>
    </row>
    <row r="111" spans="2:20" ht="15.75" customHeight="1">
      <c r="B111" s="5"/>
      <c r="C111" s="5"/>
      <c r="D111" s="5"/>
      <c r="E111" s="5"/>
      <c r="F111" s="5"/>
      <c r="P111" s="33"/>
      <c r="Q111" s="33"/>
      <c r="R111" s="33"/>
      <c r="S111" s="33"/>
      <c r="T111" s="33"/>
    </row>
    <row r="112" spans="2:20" ht="15.75" customHeight="1">
      <c r="B112" s="5"/>
      <c r="C112" s="5"/>
      <c r="D112" s="5"/>
      <c r="E112" s="5"/>
      <c r="F112" s="5"/>
      <c r="P112" s="33"/>
      <c r="Q112" s="33"/>
      <c r="R112" s="33"/>
      <c r="S112" s="33"/>
      <c r="T112" s="33"/>
    </row>
    <row r="113" spans="2:20" ht="15.75" customHeight="1">
      <c r="B113" s="5"/>
      <c r="C113" s="5"/>
      <c r="D113" s="5"/>
      <c r="E113" s="5"/>
      <c r="F113" s="5"/>
      <c r="P113" s="33"/>
      <c r="Q113" s="33"/>
      <c r="R113" s="33"/>
      <c r="S113" s="33"/>
      <c r="T113" s="33"/>
    </row>
    <row r="114" spans="2:20" ht="15.75" customHeight="1">
      <c r="B114" s="5"/>
      <c r="C114" s="5"/>
      <c r="D114" s="5"/>
      <c r="E114" s="5"/>
      <c r="F114" s="5"/>
      <c r="P114" s="33"/>
      <c r="Q114" s="33"/>
      <c r="R114" s="33"/>
      <c r="S114" s="33"/>
      <c r="T114" s="33"/>
    </row>
    <row r="115" spans="2:20" ht="15.75" customHeight="1">
      <c r="B115" s="5"/>
      <c r="C115" s="5"/>
      <c r="D115" s="5"/>
      <c r="E115" s="5"/>
      <c r="F115" s="5"/>
      <c r="P115" s="33"/>
      <c r="Q115" s="33"/>
      <c r="R115" s="33"/>
      <c r="S115" s="33"/>
      <c r="T115" s="33"/>
    </row>
    <row r="116" spans="2:20" ht="15.75" customHeight="1">
      <c r="B116" s="5"/>
      <c r="C116" s="5"/>
      <c r="D116" s="5"/>
      <c r="E116" s="5"/>
      <c r="F116" s="5"/>
      <c r="P116" s="33"/>
      <c r="Q116" s="33"/>
      <c r="R116" s="33"/>
      <c r="S116" s="33"/>
      <c r="T116" s="33"/>
    </row>
    <row r="117" spans="2:20" ht="15.75" customHeight="1">
      <c r="B117" s="5"/>
      <c r="C117" s="5"/>
      <c r="D117" s="5"/>
      <c r="E117" s="5"/>
      <c r="F117" s="5"/>
      <c r="P117" s="33"/>
      <c r="Q117" s="33"/>
      <c r="R117" s="33"/>
      <c r="S117" s="33"/>
      <c r="T117" s="33"/>
    </row>
    <row r="118" spans="2:20" ht="15.75" customHeight="1">
      <c r="B118" s="5"/>
      <c r="C118" s="5"/>
      <c r="D118" s="5"/>
      <c r="E118" s="5"/>
      <c r="F118" s="5"/>
      <c r="P118" s="33"/>
      <c r="Q118" s="33"/>
      <c r="R118" s="33"/>
      <c r="S118" s="33"/>
      <c r="T118" s="33"/>
    </row>
    <row r="119" spans="2:20" ht="15.75" customHeight="1">
      <c r="B119" s="5"/>
      <c r="C119" s="5"/>
      <c r="D119" s="5"/>
      <c r="E119" s="5"/>
      <c r="F119" s="5"/>
      <c r="P119" s="33"/>
      <c r="Q119" s="33"/>
      <c r="R119" s="33"/>
      <c r="S119" s="33"/>
      <c r="T119" s="33"/>
    </row>
    <row r="120" spans="2:20" ht="15.75" customHeight="1">
      <c r="B120" s="5"/>
      <c r="C120" s="5"/>
      <c r="D120" s="5"/>
      <c r="E120" s="5"/>
      <c r="F120" s="5"/>
      <c r="P120" s="33"/>
      <c r="Q120" s="33"/>
      <c r="R120" s="33"/>
      <c r="S120" s="33"/>
      <c r="T120" s="33"/>
    </row>
    <row r="121" spans="2:20" ht="15.75" customHeight="1">
      <c r="B121" s="5"/>
      <c r="C121" s="5"/>
      <c r="D121" s="5"/>
      <c r="E121" s="5"/>
      <c r="F121" s="5"/>
      <c r="P121" s="33"/>
      <c r="Q121" s="33"/>
      <c r="R121" s="33"/>
      <c r="S121" s="33"/>
      <c r="T121" s="33"/>
    </row>
    <row r="122" spans="2:20" ht="15.75" customHeight="1">
      <c r="B122" s="5"/>
      <c r="C122" s="5"/>
      <c r="D122" s="5"/>
      <c r="E122" s="5"/>
      <c r="F122" s="5"/>
      <c r="P122" s="33"/>
      <c r="Q122" s="33"/>
      <c r="R122" s="33"/>
      <c r="S122" s="33"/>
      <c r="T122" s="33"/>
    </row>
    <row r="123" spans="2:20" ht="15.75" customHeight="1">
      <c r="B123" s="5"/>
      <c r="C123" s="5"/>
      <c r="D123" s="5"/>
      <c r="E123" s="5"/>
      <c r="F123" s="5"/>
      <c r="P123" s="33"/>
      <c r="Q123" s="33"/>
      <c r="R123" s="33"/>
      <c r="S123" s="33"/>
      <c r="T123" s="33"/>
    </row>
    <row r="124" spans="2:20" ht="15.75" customHeight="1">
      <c r="B124" s="5"/>
      <c r="C124" s="5"/>
      <c r="D124" s="5"/>
      <c r="E124" s="5"/>
      <c r="F124" s="5"/>
      <c r="P124" s="33"/>
      <c r="Q124" s="33"/>
      <c r="R124" s="33"/>
      <c r="S124" s="33"/>
      <c r="T124" s="33"/>
    </row>
    <row r="125" spans="2:20" ht="15.75" customHeight="1">
      <c r="B125" s="5"/>
      <c r="C125" s="5"/>
      <c r="D125" s="5"/>
      <c r="E125" s="5"/>
      <c r="F125" s="5"/>
      <c r="P125" s="33"/>
      <c r="Q125" s="33"/>
      <c r="R125" s="33"/>
      <c r="S125" s="33"/>
      <c r="T125" s="33"/>
    </row>
    <row r="126" spans="2:20" ht="15.75" customHeight="1">
      <c r="B126" s="5"/>
      <c r="C126" s="5"/>
      <c r="D126" s="5"/>
      <c r="E126" s="5"/>
      <c r="F126" s="5"/>
      <c r="P126" s="33"/>
      <c r="Q126" s="33"/>
      <c r="R126" s="33"/>
      <c r="S126" s="33"/>
      <c r="T126" s="33"/>
    </row>
    <row r="127" spans="2:20" ht="15.75" customHeight="1">
      <c r="B127" s="5"/>
      <c r="C127" s="5"/>
      <c r="D127" s="5"/>
      <c r="E127" s="5"/>
      <c r="F127" s="5"/>
      <c r="P127" s="33"/>
      <c r="Q127" s="33"/>
      <c r="R127" s="33"/>
      <c r="S127" s="33"/>
      <c r="T127" s="33"/>
    </row>
    <row r="128" spans="2:20" ht="15.75" customHeight="1">
      <c r="B128" s="5"/>
      <c r="C128" s="5"/>
      <c r="D128" s="5"/>
      <c r="E128" s="5"/>
      <c r="F128" s="5"/>
      <c r="P128" s="33"/>
      <c r="Q128" s="33"/>
      <c r="R128" s="33"/>
      <c r="S128" s="33"/>
      <c r="T128" s="33"/>
    </row>
    <row r="129" spans="2:20" ht="15.75" customHeight="1">
      <c r="B129" s="5"/>
      <c r="C129" s="5"/>
      <c r="D129" s="5"/>
      <c r="E129" s="5"/>
      <c r="F129" s="5"/>
      <c r="P129" s="33"/>
      <c r="Q129" s="33"/>
      <c r="R129" s="33"/>
      <c r="S129" s="33"/>
      <c r="T129" s="33"/>
    </row>
    <row r="130" spans="2:20" ht="15.75" customHeight="1">
      <c r="B130" s="5"/>
      <c r="C130" s="5"/>
      <c r="D130" s="5"/>
      <c r="E130" s="5"/>
      <c r="F130" s="5"/>
      <c r="P130" s="33"/>
      <c r="Q130" s="33"/>
      <c r="R130" s="33"/>
      <c r="S130" s="33"/>
      <c r="T130" s="33"/>
    </row>
    <row r="131" spans="2:20" ht="15.75" customHeight="1">
      <c r="B131" s="5"/>
      <c r="C131" s="5"/>
      <c r="D131" s="5"/>
      <c r="E131" s="5"/>
      <c r="F131" s="5"/>
      <c r="P131" s="33"/>
      <c r="Q131" s="33"/>
      <c r="R131" s="33"/>
      <c r="S131" s="33"/>
      <c r="T131" s="33"/>
    </row>
    <row r="132" spans="2:20" ht="15.75" customHeight="1">
      <c r="B132" s="5"/>
      <c r="C132" s="5"/>
      <c r="D132" s="5"/>
      <c r="E132" s="5"/>
      <c r="F132" s="5"/>
      <c r="P132" s="33"/>
      <c r="Q132" s="33"/>
      <c r="R132" s="33"/>
      <c r="S132" s="33"/>
      <c r="T132" s="33"/>
    </row>
    <row r="133" spans="2:20" ht="15.75" customHeight="1">
      <c r="B133" s="5"/>
      <c r="C133" s="5"/>
      <c r="D133" s="5"/>
      <c r="E133" s="5"/>
      <c r="F133" s="5"/>
      <c r="P133" s="33"/>
      <c r="Q133" s="33"/>
      <c r="R133" s="33"/>
      <c r="S133" s="33"/>
      <c r="T133" s="33"/>
    </row>
    <row r="134" spans="2:20" ht="15.75" customHeight="1">
      <c r="B134" s="5"/>
      <c r="C134" s="5"/>
      <c r="D134" s="5"/>
      <c r="E134" s="5"/>
      <c r="F134" s="5"/>
      <c r="P134" s="33"/>
      <c r="Q134" s="33"/>
      <c r="R134" s="33"/>
      <c r="S134" s="33"/>
      <c r="T134" s="33"/>
    </row>
    <row r="135" spans="2:20" ht="15.75" customHeight="1">
      <c r="B135" s="5"/>
      <c r="C135" s="5"/>
      <c r="D135" s="5"/>
      <c r="E135" s="5"/>
      <c r="F135" s="5"/>
      <c r="P135" s="33"/>
      <c r="Q135" s="33"/>
      <c r="R135" s="33"/>
      <c r="S135" s="33"/>
      <c r="T135" s="33"/>
    </row>
    <row r="136" spans="2:20" ht="15.75" customHeight="1">
      <c r="B136" s="5"/>
      <c r="C136" s="5"/>
      <c r="D136" s="5"/>
      <c r="E136" s="5"/>
      <c r="F136" s="5"/>
      <c r="P136" s="33"/>
      <c r="Q136" s="33"/>
      <c r="R136" s="33"/>
      <c r="S136" s="33"/>
      <c r="T136" s="33"/>
    </row>
    <row r="137" spans="2:20" ht="15.75" customHeight="1">
      <c r="B137" s="5"/>
      <c r="C137" s="5"/>
      <c r="D137" s="5"/>
      <c r="E137" s="5"/>
      <c r="F137" s="5"/>
      <c r="P137" s="33"/>
      <c r="Q137" s="33"/>
      <c r="R137" s="33"/>
      <c r="S137" s="33"/>
      <c r="T137" s="33"/>
    </row>
    <row r="138" spans="2:20" ht="15.75" customHeight="1">
      <c r="B138" s="5"/>
      <c r="C138" s="5"/>
      <c r="D138" s="5"/>
      <c r="E138" s="5"/>
      <c r="F138" s="5"/>
      <c r="P138" s="33"/>
      <c r="Q138" s="33"/>
      <c r="R138" s="33"/>
      <c r="S138" s="33"/>
      <c r="T138" s="33"/>
    </row>
    <row r="139" spans="2:20" ht="15.75" customHeight="1">
      <c r="B139" s="5"/>
      <c r="C139" s="5"/>
      <c r="D139" s="5"/>
      <c r="E139" s="5"/>
      <c r="F139" s="5"/>
      <c r="P139" s="33"/>
      <c r="Q139" s="33"/>
      <c r="R139" s="33"/>
      <c r="S139" s="33"/>
      <c r="T139" s="33"/>
    </row>
    <row r="140" spans="2:20" ht="15.75" customHeight="1">
      <c r="B140" s="5"/>
      <c r="C140" s="5"/>
      <c r="D140" s="5"/>
      <c r="E140" s="5"/>
      <c r="F140" s="5"/>
      <c r="P140" s="33"/>
      <c r="Q140" s="33"/>
      <c r="R140" s="33"/>
      <c r="S140" s="33"/>
      <c r="T140" s="33"/>
    </row>
    <row r="141" spans="2:20" ht="15.75" customHeight="1">
      <c r="B141" s="5"/>
      <c r="C141" s="5"/>
      <c r="D141" s="5"/>
      <c r="E141" s="5"/>
      <c r="F141" s="5"/>
      <c r="P141" s="33"/>
      <c r="Q141" s="33"/>
      <c r="R141" s="33"/>
      <c r="S141" s="33"/>
      <c r="T141" s="33"/>
    </row>
    <row r="142" spans="2:20" ht="15.75" customHeight="1">
      <c r="B142" s="5"/>
      <c r="C142" s="5"/>
      <c r="D142" s="5"/>
      <c r="E142" s="5"/>
      <c r="F142" s="5"/>
      <c r="P142" s="33"/>
      <c r="Q142" s="33"/>
      <c r="R142" s="33"/>
      <c r="S142" s="33"/>
      <c r="T142" s="33"/>
    </row>
    <row r="143" spans="2:20" ht="15.75" customHeight="1">
      <c r="B143" s="5"/>
      <c r="C143" s="5"/>
      <c r="D143" s="5"/>
      <c r="E143" s="5"/>
      <c r="F143" s="5"/>
      <c r="P143" s="33"/>
      <c r="Q143" s="33"/>
      <c r="R143" s="33"/>
      <c r="S143" s="33"/>
      <c r="T143" s="33"/>
    </row>
    <row r="144" spans="2:20" ht="15.75" customHeight="1">
      <c r="B144" s="5"/>
      <c r="C144" s="5"/>
      <c r="D144" s="5"/>
      <c r="E144" s="5"/>
      <c r="F144" s="5"/>
      <c r="P144" s="33"/>
      <c r="Q144" s="33"/>
      <c r="R144" s="33"/>
      <c r="S144" s="33"/>
      <c r="T144" s="33"/>
    </row>
    <row r="145" spans="2:20" ht="15.75" customHeight="1">
      <c r="B145" s="5"/>
      <c r="C145" s="5"/>
      <c r="D145" s="5"/>
      <c r="E145" s="5"/>
      <c r="F145" s="5"/>
      <c r="P145" s="33"/>
      <c r="Q145" s="33"/>
      <c r="R145" s="33"/>
      <c r="S145" s="33"/>
      <c r="T145" s="33"/>
    </row>
    <row r="146" spans="2:20" ht="15.75" customHeight="1">
      <c r="B146" s="5"/>
      <c r="C146" s="5"/>
      <c r="D146" s="5"/>
      <c r="E146" s="5"/>
      <c r="F146" s="5"/>
      <c r="P146" s="33"/>
      <c r="Q146" s="33"/>
      <c r="R146" s="33"/>
      <c r="S146" s="33"/>
      <c r="T146" s="33"/>
    </row>
    <row r="147" spans="2:20" ht="15.75" customHeight="1">
      <c r="B147" s="5"/>
      <c r="C147" s="5"/>
      <c r="D147" s="5"/>
      <c r="E147" s="5"/>
      <c r="F147" s="5"/>
      <c r="P147" s="33"/>
      <c r="Q147" s="33"/>
      <c r="R147" s="33"/>
      <c r="S147" s="33"/>
      <c r="T147" s="33"/>
    </row>
    <row r="148" spans="2:20" ht="15.75" customHeight="1">
      <c r="B148" s="5"/>
      <c r="C148" s="5"/>
      <c r="D148" s="5"/>
      <c r="E148" s="5"/>
      <c r="F148" s="5"/>
      <c r="P148" s="33"/>
      <c r="Q148" s="33"/>
      <c r="R148" s="33"/>
      <c r="S148" s="33"/>
      <c r="T148" s="33"/>
    </row>
    <row r="149" spans="2:20" ht="15.75" customHeight="1">
      <c r="B149" s="5"/>
      <c r="C149" s="5"/>
      <c r="D149" s="5"/>
      <c r="E149" s="5"/>
      <c r="F149" s="5"/>
      <c r="P149" s="33"/>
      <c r="Q149" s="33"/>
      <c r="R149" s="33"/>
      <c r="S149" s="33"/>
      <c r="T149" s="33"/>
    </row>
    <row r="150" spans="2:20" ht="15.75" customHeight="1">
      <c r="B150" s="5"/>
      <c r="C150" s="5"/>
      <c r="D150" s="5"/>
      <c r="E150" s="5"/>
      <c r="F150" s="5"/>
      <c r="P150" s="33"/>
      <c r="Q150" s="33"/>
      <c r="R150" s="33"/>
      <c r="S150" s="33"/>
      <c r="T150" s="33"/>
    </row>
    <row r="151" spans="2:20" ht="15.75" customHeight="1">
      <c r="B151" s="5"/>
      <c r="C151" s="5"/>
      <c r="D151" s="5"/>
      <c r="E151" s="5"/>
      <c r="F151" s="5"/>
      <c r="P151" s="33"/>
      <c r="Q151" s="33"/>
      <c r="R151" s="33"/>
      <c r="S151" s="33"/>
      <c r="T151" s="33"/>
    </row>
    <row r="152" spans="2:20" ht="15.75" customHeight="1">
      <c r="B152" s="5"/>
      <c r="C152" s="5"/>
      <c r="D152" s="5"/>
      <c r="E152" s="5"/>
      <c r="F152" s="5"/>
      <c r="P152" s="33"/>
      <c r="Q152" s="33"/>
      <c r="R152" s="33"/>
      <c r="S152" s="33"/>
      <c r="T152" s="33"/>
    </row>
    <row r="153" spans="2:20" ht="15.75" customHeight="1">
      <c r="B153" s="5"/>
      <c r="C153" s="5"/>
      <c r="D153" s="5"/>
      <c r="E153" s="5"/>
      <c r="F153" s="5"/>
      <c r="P153" s="33"/>
      <c r="Q153" s="33"/>
      <c r="R153" s="33"/>
      <c r="S153" s="33"/>
      <c r="T153" s="33"/>
    </row>
    <row r="154" spans="2:20" ht="15.75" customHeight="1">
      <c r="B154" s="5"/>
      <c r="C154" s="5"/>
      <c r="D154" s="5"/>
      <c r="E154" s="5"/>
      <c r="F154" s="5"/>
      <c r="P154" s="33"/>
      <c r="Q154" s="33"/>
      <c r="R154" s="33"/>
      <c r="S154" s="33"/>
      <c r="T154" s="33"/>
    </row>
    <row r="155" spans="2:20" ht="15.75" customHeight="1">
      <c r="B155" s="5"/>
      <c r="C155" s="5"/>
      <c r="D155" s="5"/>
      <c r="E155" s="5"/>
      <c r="F155" s="5"/>
      <c r="P155" s="33"/>
      <c r="Q155" s="33"/>
      <c r="R155" s="33"/>
      <c r="S155" s="33"/>
      <c r="T155" s="33"/>
    </row>
    <row r="156" spans="2:20" ht="15.75" customHeight="1">
      <c r="B156" s="5"/>
      <c r="C156" s="5"/>
      <c r="D156" s="5"/>
      <c r="E156" s="5"/>
      <c r="F156" s="5"/>
      <c r="P156" s="33"/>
      <c r="Q156" s="33"/>
      <c r="R156" s="33"/>
      <c r="S156" s="33"/>
      <c r="T156" s="33"/>
    </row>
    <row r="157" spans="2:20" ht="15.75" customHeight="1">
      <c r="B157" s="5"/>
      <c r="C157" s="5"/>
      <c r="D157" s="5"/>
      <c r="E157" s="5"/>
      <c r="F157" s="5"/>
      <c r="P157" s="33"/>
      <c r="Q157" s="33"/>
      <c r="R157" s="33"/>
      <c r="S157" s="33"/>
      <c r="T157" s="33"/>
    </row>
    <row r="158" spans="2:20" ht="15.75" customHeight="1">
      <c r="B158" s="5"/>
      <c r="C158" s="5"/>
      <c r="D158" s="5"/>
      <c r="E158" s="5"/>
      <c r="F158" s="5"/>
      <c r="P158" s="33"/>
      <c r="Q158" s="33"/>
      <c r="R158" s="33"/>
      <c r="S158" s="33"/>
      <c r="T158" s="33"/>
    </row>
    <row r="159" spans="2:20" ht="15.75" customHeight="1">
      <c r="B159" s="5"/>
      <c r="C159" s="5"/>
      <c r="D159" s="5"/>
      <c r="E159" s="5"/>
      <c r="F159" s="5"/>
      <c r="P159" s="33"/>
      <c r="Q159" s="33"/>
      <c r="R159" s="33"/>
      <c r="S159" s="33"/>
      <c r="T159" s="33"/>
    </row>
    <row r="160" spans="2:20" ht="15.75" customHeight="1">
      <c r="B160" s="5"/>
      <c r="C160" s="5"/>
      <c r="D160" s="5"/>
      <c r="E160" s="5"/>
      <c r="F160" s="5"/>
      <c r="P160" s="33"/>
      <c r="Q160" s="33"/>
      <c r="R160" s="33"/>
      <c r="S160" s="33"/>
      <c r="T160" s="33"/>
    </row>
    <row r="161" spans="2:20" ht="15.75" customHeight="1">
      <c r="B161" s="5"/>
      <c r="C161" s="5"/>
      <c r="D161" s="5"/>
      <c r="E161" s="5"/>
      <c r="F161" s="5"/>
      <c r="P161" s="33"/>
      <c r="Q161" s="33"/>
      <c r="R161" s="33"/>
      <c r="S161" s="33"/>
      <c r="T161" s="33"/>
    </row>
    <row r="162" spans="2:20" ht="15.75" customHeight="1">
      <c r="B162" s="5"/>
      <c r="C162" s="5"/>
      <c r="D162" s="5"/>
      <c r="E162" s="5"/>
      <c r="F162" s="5"/>
      <c r="P162" s="33"/>
      <c r="Q162" s="33"/>
      <c r="R162" s="33"/>
      <c r="S162" s="33"/>
      <c r="T162" s="33"/>
    </row>
    <row r="163" spans="2:20" ht="15.75" customHeight="1">
      <c r="B163" s="5"/>
      <c r="C163" s="5"/>
      <c r="D163" s="5"/>
      <c r="E163" s="5"/>
      <c r="F163" s="5"/>
      <c r="P163" s="33"/>
      <c r="Q163" s="33"/>
      <c r="R163" s="33"/>
      <c r="S163" s="33"/>
      <c r="T163" s="33"/>
    </row>
    <row r="164" spans="2:20" ht="15.75" customHeight="1">
      <c r="B164" s="5"/>
      <c r="C164" s="5"/>
      <c r="D164" s="5"/>
      <c r="E164" s="5"/>
      <c r="F164" s="5"/>
      <c r="P164" s="33"/>
      <c r="Q164" s="33"/>
      <c r="R164" s="33"/>
      <c r="S164" s="33"/>
      <c r="T164" s="33"/>
    </row>
    <row r="165" spans="2:20" ht="15.75" customHeight="1">
      <c r="B165" s="5"/>
      <c r="C165" s="5"/>
      <c r="D165" s="5"/>
      <c r="E165" s="5"/>
      <c r="F165" s="5"/>
      <c r="P165" s="33"/>
      <c r="Q165" s="33"/>
      <c r="R165" s="33"/>
      <c r="S165" s="33"/>
      <c r="T165" s="33"/>
    </row>
    <row r="166" spans="2:20" ht="15.75" customHeight="1">
      <c r="B166" s="5"/>
      <c r="C166" s="5"/>
      <c r="D166" s="5"/>
      <c r="E166" s="5"/>
      <c r="F166" s="5"/>
      <c r="P166" s="33"/>
      <c r="Q166" s="33"/>
      <c r="R166" s="33"/>
      <c r="S166" s="33"/>
      <c r="T166" s="33"/>
    </row>
    <row r="167" spans="2:20" ht="15.75" customHeight="1">
      <c r="B167" s="5"/>
      <c r="C167" s="5"/>
      <c r="D167" s="5"/>
      <c r="E167" s="5"/>
      <c r="F167" s="5"/>
      <c r="P167" s="33"/>
      <c r="Q167" s="33"/>
      <c r="R167" s="33"/>
      <c r="S167" s="33"/>
      <c r="T167" s="33"/>
    </row>
    <row r="168" spans="2:20" ht="15.75" customHeight="1">
      <c r="B168" s="5"/>
      <c r="C168" s="5"/>
      <c r="D168" s="5"/>
      <c r="E168" s="5"/>
      <c r="F168" s="5"/>
      <c r="P168" s="33"/>
      <c r="Q168" s="33"/>
      <c r="R168" s="33"/>
      <c r="S168" s="33"/>
      <c r="T168" s="33"/>
    </row>
    <row r="169" spans="2:20" ht="15.75" customHeight="1">
      <c r="B169" s="5"/>
      <c r="C169" s="5"/>
      <c r="D169" s="5"/>
      <c r="E169" s="5"/>
      <c r="F169" s="5"/>
      <c r="P169" s="33"/>
      <c r="Q169" s="33"/>
      <c r="R169" s="33"/>
      <c r="S169" s="33"/>
      <c r="T169" s="33"/>
    </row>
    <row r="170" spans="2:20" ht="15.75" customHeight="1">
      <c r="B170" s="5"/>
      <c r="C170" s="5"/>
      <c r="D170" s="5"/>
      <c r="E170" s="5"/>
      <c r="F170" s="5"/>
      <c r="P170" s="33"/>
      <c r="Q170" s="33"/>
      <c r="R170" s="33"/>
      <c r="S170" s="33"/>
      <c r="T170" s="33"/>
    </row>
    <row r="171" spans="2:20" ht="15.75" customHeight="1">
      <c r="B171" s="5"/>
      <c r="C171" s="5"/>
      <c r="D171" s="5"/>
      <c r="E171" s="5"/>
      <c r="F171" s="5"/>
      <c r="P171" s="33"/>
      <c r="Q171" s="33"/>
      <c r="R171" s="33"/>
      <c r="S171" s="33"/>
      <c r="T171" s="33"/>
    </row>
    <row r="172" spans="2:20" ht="15.75" customHeight="1">
      <c r="B172" s="5"/>
      <c r="C172" s="5"/>
      <c r="D172" s="5"/>
      <c r="E172" s="5"/>
      <c r="F172" s="5"/>
      <c r="P172" s="33"/>
      <c r="Q172" s="33"/>
      <c r="R172" s="33"/>
      <c r="S172" s="33"/>
      <c r="T172" s="33"/>
    </row>
    <row r="173" spans="2:20" ht="15.75" customHeight="1">
      <c r="B173" s="5"/>
      <c r="C173" s="5"/>
      <c r="D173" s="5"/>
      <c r="E173" s="5"/>
      <c r="F173" s="5"/>
      <c r="P173" s="33"/>
      <c r="Q173" s="33"/>
      <c r="R173" s="33"/>
      <c r="S173" s="33"/>
      <c r="T173" s="33"/>
    </row>
    <row r="174" spans="2:20" ht="15.75" customHeight="1">
      <c r="B174" s="5"/>
      <c r="C174" s="5"/>
      <c r="D174" s="5"/>
      <c r="E174" s="5"/>
      <c r="F174" s="5"/>
      <c r="P174" s="33"/>
      <c r="Q174" s="33"/>
      <c r="R174" s="33"/>
      <c r="S174" s="33"/>
      <c r="T174" s="33"/>
    </row>
    <row r="175" spans="2:20" ht="15.75" customHeight="1">
      <c r="B175" s="5"/>
      <c r="C175" s="5"/>
      <c r="D175" s="5"/>
      <c r="E175" s="5"/>
      <c r="F175" s="5"/>
      <c r="P175" s="33"/>
      <c r="Q175" s="33"/>
      <c r="R175" s="33"/>
      <c r="S175" s="33"/>
      <c r="T175" s="33"/>
    </row>
    <row r="176" spans="2:20" ht="15.75" customHeight="1">
      <c r="B176" s="5"/>
      <c r="C176" s="5"/>
      <c r="D176" s="5"/>
      <c r="E176" s="5"/>
      <c r="F176" s="5"/>
      <c r="P176" s="33"/>
      <c r="Q176" s="33"/>
      <c r="R176" s="33"/>
      <c r="S176" s="33"/>
      <c r="T176" s="33"/>
    </row>
    <row r="177" spans="2:20" ht="15.75" customHeight="1">
      <c r="B177" s="5"/>
      <c r="C177" s="5"/>
      <c r="D177" s="5"/>
      <c r="E177" s="5"/>
      <c r="F177" s="5"/>
      <c r="P177" s="33"/>
      <c r="Q177" s="33"/>
      <c r="R177" s="33"/>
      <c r="S177" s="33"/>
      <c r="T177" s="33"/>
    </row>
    <row r="178" spans="2:20" ht="15.75" customHeight="1">
      <c r="B178" s="5"/>
      <c r="C178" s="5"/>
      <c r="D178" s="5"/>
      <c r="E178" s="5"/>
      <c r="F178" s="5"/>
      <c r="P178" s="33"/>
      <c r="Q178" s="33"/>
      <c r="R178" s="33"/>
      <c r="S178" s="33"/>
      <c r="T178" s="33"/>
    </row>
    <row r="179" spans="2:20" ht="15.75" customHeight="1">
      <c r="B179" s="5"/>
      <c r="C179" s="5"/>
      <c r="D179" s="5"/>
      <c r="E179" s="5"/>
      <c r="F179" s="5"/>
      <c r="P179" s="33"/>
      <c r="Q179" s="33"/>
      <c r="R179" s="33"/>
      <c r="S179" s="33"/>
      <c r="T179" s="33"/>
    </row>
    <row r="180" spans="2:20" ht="15.75" customHeight="1">
      <c r="B180" s="5"/>
      <c r="C180" s="5"/>
      <c r="D180" s="5"/>
      <c r="E180" s="5"/>
      <c r="F180" s="5"/>
      <c r="P180" s="33"/>
      <c r="Q180" s="33"/>
      <c r="R180" s="33"/>
      <c r="S180" s="33"/>
      <c r="T180" s="33"/>
    </row>
    <row r="181" spans="2:20" ht="15.75" customHeight="1">
      <c r="B181" s="5"/>
      <c r="C181" s="5"/>
      <c r="D181" s="5"/>
      <c r="E181" s="5"/>
      <c r="F181" s="5"/>
      <c r="P181" s="33"/>
      <c r="Q181" s="33"/>
      <c r="R181" s="33"/>
      <c r="S181" s="33"/>
      <c r="T181" s="33"/>
    </row>
    <row r="182" spans="2:20" ht="15.75" customHeight="1">
      <c r="B182" s="5"/>
      <c r="C182" s="5"/>
      <c r="D182" s="5"/>
      <c r="E182" s="5"/>
      <c r="F182" s="5"/>
      <c r="P182" s="33"/>
      <c r="Q182" s="33"/>
      <c r="R182" s="33"/>
      <c r="S182" s="33"/>
      <c r="T182" s="33"/>
    </row>
    <row r="183" spans="2:20" ht="15.75" customHeight="1">
      <c r="B183" s="5"/>
      <c r="C183" s="5"/>
      <c r="D183" s="5"/>
      <c r="E183" s="5"/>
      <c r="F183" s="5"/>
      <c r="P183" s="33"/>
      <c r="Q183" s="33"/>
      <c r="R183" s="33"/>
      <c r="S183" s="33"/>
      <c r="T183" s="33"/>
    </row>
    <row r="184" spans="2:20" ht="15.75" customHeight="1">
      <c r="B184" s="5"/>
      <c r="C184" s="5"/>
      <c r="D184" s="5"/>
      <c r="E184" s="5"/>
      <c r="F184" s="5"/>
      <c r="P184" s="33"/>
      <c r="Q184" s="33"/>
      <c r="R184" s="33"/>
      <c r="S184" s="33"/>
      <c r="T184" s="33"/>
    </row>
    <row r="185" spans="2:20" ht="15.75" customHeight="1">
      <c r="B185" s="5"/>
      <c r="C185" s="5"/>
      <c r="D185" s="5"/>
      <c r="E185" s="5"/>
      <c r="F185" s="5"/>
      <c r="P185" s="33"/>
      <c r="Q185" s="33"/>
      <c r="R185" s="33"/>
      <c r="S185" s="33"/>
      <c r="T185" s="33"/>
    </row>
    <row r="186" spans="2:20" ht="15.75" customHeight="1">
      <c r="B186" s="5"/>
      <c r="C186" s="5"/>
      <c r="D186" s="5"/>
      <c r="E186" s="5"/>
      <c r="F186" s="5"/>
      <c r="P186" s="33"/>
      <c r="Q186" s="33"/>
      <c r="R186" s="33"/>
      <c r="S186" s="33"/>
      <c r="T186" s="33"/>
    </row>
    <row r="187" spans="2:20" ht="15.75" customHeight="1">
      <c r="B187" s="5"/>
      <c r="C187" s="5"/>
      <c r="D187" s="5"/>
      <c r="E187" s="5"/>
      <c r="F187" s="5"/>
      <c r="P187" s="33"/>
      <c r="Q187" s="33"/>
      <c r="R187" s="33"/>
      <c r="S187" s="33"/>
      <c r="T187" s="33"/>
    </row>
    <row r="188" spans="2:20" ht="15.75" customHeight="1">
      <c r="B188" s="5"/>
      <c r="C188" s="5"/>
      <c r="D188" s="5"/>
      <c r="E188" s="5"/>
      <c r="F188" s="5"/>
      <c r="P188" s="33"/>
      <c r="Q188" s="33"/>
      <c r="R188" s="33"/>
      <c r="S188" s="33"/>
      <c r="T188" s="33"/>
    </row>
    <row r="189" spans="2:20" ht="15.75" customHeight="1">
      <c r="B189" s="5"/>
      <c r="C189" s="5"/>
      <c r="D189" s="5"/>
      <c r="E189" s="5"/>
      <c r="F189" s="5"/>
      <c r="P189" s="33"/>
      <c r="Q189" s="33"/>
      <c r="R189" s="33"/>
      <c r="S189" s="33"/>
      <c r="T189" s="33"/>
    </row>
    <row r="190" spans="2:20" ht="15.75" customHeight="1">
      <c r="B190" s="5"/>
      <c r="C190" s="5"/>
      <c r="D190" s="5"/>
      <c r="E190" s="5"/>
      <c r="F190" s="5"/>
      <c r="P190" s="33"/>
      <c r="Q190" s="33"/>
      <c r="R190" s="33"/>
      <c r="S190" s="33"/>
      <c r="T190" s="33"/>
    </row>
    <row r="191" spans="2:20" ht="15.75" customHeight="1">
      <c r="B191" s="5"/>
      <c r="C191" s="5"/>
      <c r="D191" s="5"/>
      <c r="E191" s="5"/>
      <c r="F191" s="5"/>
      <c r="P191" s="33"/>
      <c r="Q191" s="33"/>
      <c r="R191" s="33"/>
      <c r="S191" s="33"/>
      <c r="T191" s="33"/>
    </row>
    <row r="192" spans="2:20" ht="15.75" customHeight="1">
      <c r="B192" s="5"/>
      <c r="C192" s="5"/>
      <c r="D192" s="5"/>
      <c r="E192" s="5"/>
      <c r="F192" s="5"/>
      <c r="P192" s="33"/>
      <c r="Q192" s="33"/>
      <c r="R192" s="33"/>
      <c r="S192" s="33"/>
      <c r="T192" s="33"/>
    </row>
    <row r="193" spans="2:20" ht="15.75" customHeight="1">
      <c r="B193" s="5"/>
      <c r="C193" s="5"/>
      <c r="D193" s="5"/>
      <c r="E193" s="5"/>
      <c r="F193" s="5"/>
      <c r="P193" s="33"/>
      <c r="Q193" s="33"/>
      <c r="R193" s="33"/>
      <c r="S193" s="33"/>
      <c r="T193" s="33"/>
    </row>
    <row r="194" spans="2:20" ht="15.75" customHeight="1">
      <c r="B194" s="5"/>
      <c r="C194" s="5"/>
      <c r="D194" s="5"/>
      <c r="E194" s="5"/>
      <c r="F194" s="5"/>
      <c r="P194" s="33"/>
      <c r="Q194" s="33"/>
      <c r="R194" s="33"/>
      <c r="S194" s="33"/>
      <c r="T194" s="33"/>
    </row>
    <row r="195" spans="2:20" ht="15.75" customHeight="1">
      <c r="B195" s="5"/>
      <c r="C195" s="5"/>
      <c r="D195" s="5"/>
      <c r="E195" s="5"/>
      <c r="F195" s="5"/>
      <c r="P195" s="33"/>
      <c r="Q195" s="33"/>
      <c r="R195" s="33"/>
      <c r="S195" s="33"/>
      <c r="T195" s="33"/>
    </row>
    <row r="196" spans="2:20" ht="15.75" customHeight="1">
      <c r="B196" s="5"/>
      <c r="C196" s="5"/>
      <c r="D196" s="5"/>
      <c r="E196" s="5"/>
      <c r="F196" s="5"/>
      <c r="P196" s="33"/>
      <c r="Q196" s="33"/>
      <c r="R196" s="33"/>
      <c r="S196" s="33"/>
      <c r="T196" s="33"/>
    </row>
    <row r="197" spans="2:20" ht="15.75" customHeight="1">
      <c r="B197" s="5"/>
      <c r="C197" s="5"/>
      <c r="D197" s="5"/>
      <c r="E197" s="5"/>
      <c r="F197" s="5"/>
      <c r="P197" s="33"/>
      <c r="Q197" s="33"/>
      <c r="R197" s="33"/>
      <c r="S197" s="33"/>
      <c r="T197" s="33"/>
    </row>
    <row r="198" spans="2:20" ht="15.75" customHeight="1">
      <c r="B198" s="5"/>
      <c r="C198" s="5"/>
      <c r="D198" s="5"/>
      <c r="E198" s="5"/>
      <c r="F198" s="5"/>
      <c r="P198" s="33"/>
      <c r="Q198" s="33"/>
      <c r="R198" s="33"/>
      <c r="S198" s="33"/>
      <c r="T198" s="33"/>
    </row>
    <row r="199" spans="2:20" ht="15.75" customHeight="1">
      <c r="B199" s="5"/>
      <c r="C199" s="5"/>
      <c r="D199" s="5"/>
      <c r="E199" s="5"/>
      <c r="F199" s="5"/>
      <c r="P199" s="33"/>
      <c r="Q199" s="33"/>
      <c r="R199" s="33"/>
      <c r="S199" s="33"/>
      <c r="T199" s="33"/>
    </row>
    <row r="200" spans="2:20" ht="15.75" customHeight="1">
      <c r="B200" s="5"/>
      <c r="C200" s="5"/>
      <c r="D200" s="5"/>
      <c r="E200" s="5"/>
      <c r="F200" s="5"/>
      <c r="P200" s="33"/>
      <c r="Q200" s="33"/>
      <c r="R200" s="33"/>
      <c r="S200" s="33"/>
      <c r="T200" s="33"/>
    </row>
    <row r="201" spans="2:20" ht="15.75" customHeight="1">
      <c r="B201" s="5"/>
      <c r="C201" s="5"/>
      <c r="D201" s="5"/>
      <c r="E201" s="5"/>
      <c r="F201" s="5"/>
      <c r="P201" s="33"/>
      <c r="Q201" s="33"/>
      <c r="R201" s="33"/>
      <c r="S201" s="33"/>
      <c r="T201" s="33"/>
    </row>
    <row r="202" spans="2:20" ht="15.75" customHeight="1">
      <c r="B202" s="5"/>
      <c r="C202" s="5"/>
      <c r="D202" s="5"/>
      <c r="E202" s="5"/>
      <c r="F202" s="5"/>
      <c r="P202" s="33"/>
      <c r="Q202" s="33"/>
      <c r="R202" s="33"/>
      <c r="S202" s="33"/>
      <c r="T202" s="33"/>
    </row>
    <row r="203" spans="2:20" ht="15.75" customHeight="1">
      <c r="B203" s="5"/>
      <c r="C203" s="5"/>
      <c r="D203" s="5"/>
      <c r="E203" s="5"/>
      <c r="F203" s="5"/>
      <c r="P203" s="33"/>
      <c r="Q203" s="33"/>
      <c r="R203" s="33"/>
      <c r="S203" s="33"/>
      <c r="T203" s="33"/>
    </row>
    <row r="204" spans="2:20" ht="15.75" customHeight="1">
      <c r="B204" s="5"/>
      <c r="C204" s="5"/>
      <c r="D204" s="5"/>
      <c r="E204" s="5"/>
      <c r="F204" s="5"/>
      <c r="P204" s="33"/>
      <c r="Q204" s="33"/>
      <c r="R204" s="33"/>
      <c r="S204" s="33"/>
      <c r="T204" s="33"/>
    </row>
    <row r="205" spans="2:20" ht="15.75" customHeight="1">
      <c r="B205" s="5"/>
      <c r="C205" s="5"/>
      <c r="D205" s="5"/>
      <c r="E205" s="5"/>
      <c r="F205" s="5"/>
      <c r="P205" s="33"/>
      <c r="Q205" s="33"/>
      <c r="R205" s="33"/>
      <c r="S205" s="33"/>
      <c r="T205" s="33"/>
    </row>
    <row r="206" spans="2:20" ht="15.75" customHeight="1">
      <c r="B206" s="5"/>
      <c r="C206" s="5"/>
      <c r="D206" s="5"/>
      <c r="E206" s="5"/>
      <c r="F206" s="5"/>
      <c r="P206" s="33"/>
      <c r="Q206" s="33"/>
      <c r="R206" s="33"/>
      <c r="S206" s="33"/>
      <c r="T206" s="33"/>
    </row>
    <row r="207" spans="2:20" ht="15.75" customHeight="1">
      <c r="B207" s="5"/>
      <c r="C207" s="5"/>
      <c r="D207" s="5"/>
      <c r="E207" s="5"/>
      <c r="F207" s="5"/>
      <c r="P207" s="33"/>
      <c r="Q207" s="33"/>
      <c r="R207" s="33"/>
      <c r="S207" s="33"/>
      <c r="T207" s="33"/>
    </row>
    <row r="208" spans="2:20" ht="15.75" customHeight="1">
      <c r="B208" s="5"/>
      <c r="C208" s="5"/>
      <c r="D208" s="5"/>
      <c r="E208" s="5"/>
      <c r="F208" s="5"/>
      <c r="P208" s="33"/>
      <c r="Q208" s="33"/>
      <c r="R208" s="33"/>
      <c r="S208" s="33"/>
      <c r="T208" s="33"/>
    </row>
    <row r="209" spans="2:20" ht="15.75" customHeight="1">
      <c r="B209" s="5"/>
      <c r="C209" s="5"/>
      <c r="D209" s="5"/>
      <c r="E209" s="5"/>
      <c r="F209" s="5"/>
      <c r="P209" s="33"/>
      <c r="Q209" s="33"/>
      <c r="R209" s="33"/>
      <c r="S209" s="33"/>
      <c r="T209" s="33"/>
    </row>
    <row r="210" spans="2:20" ht="15.75" customHeight="1">
      <c r="B210" s="5"/>
      <c r="C210" s="5"/>
      <c r="D210" s="5"/>
      <c r="E210" s="5"/>
      <c r="F210" s="5"/>
      <c r="P210" s="33"/>
      <c r="Q210" s="33"/>
      <c r="R210" s="33"/>
      <c r="S210" s="33"/>
      <c r="T210" s="33"/>
    </row>
    <row r="211" spans="2:20" ht="15.75" customHeight="1">
      <c r="B211" s="5"/>
      <c r="C211" s="5"/>
      <c r="D211" s="5"/>
      <c r="E211" s="5"/>
      <c r="F211" s="5"/>
      <c r="P211" s="33"/>
      <c r="Q211" s="33"/>
      <c r="R211" s="33"/>
      <c r="S211" s="33"/>
      <c r="T211" s="33"/>
    </row>
    <row r="212" spans="2:20" ht="15.75" customHeight="1">
      <c r="B212" s="5"/>
      <c r="C212" s="5"/>
      <c r="D212" s="5"/>
      <c r="E212" s="5"/>
      <c r="F212" s="5"/>
      <c r="P212" s="33"/>
      <c r="Q212" s="33"/>
      <c r="R212" s="33"/>
      <c r="S212" s="33"/>
      <c r="T212" s="33"/>
    </row>
    <row r="213" spans="2:20" ht="15.75" customHeight="1">
      <c r="B213" s="5"/>
      <c r="C213" s="5"/>
      <c r="D213" s="5"/>
      <c r="E213" s="5"/>
      <c r="F213" s="5"/>
      <c r="P213" s="33"/>
      <c r="Q213" s="33"/>
      <c r="R213" s="33"/>
      <c r="S213" s="33"/>
      <c r="T213" s="33"/>
    </row>
    <row r="214" spans="2:20" ht="15.75" customHeight="1">
      <c r="B214" s="5"/>
      <c r="C214" s="5"/>
      <c r="D214" s="5"/>
      <c r="E214" s="5"/>
      <c r="F214" s="5"/>
      <c r="P214" s="33"/>
      <c r="Q214" s="33"/>
      <c r="R214" s="33"/>
      <c r="S214" s="33"/>
      <c r="T214" s="33"/>
    </row>
    <row r="215" spans="2:20" ht="15.75" customHeight="1">
      <c r="B215" s="5"/>
      <c r="C215" s="5"/>
      <c r="D215" s="5"/>
      <c r="E215" s="5"/>
      <c r="F215" s="5"/>
      <c r="P215" s="33"/>
      <c r="Q215" s="33"/>
      <c r="R215" s="33"/>
      <c r="S215" s="33"/>
      <c r="T215" s="33"/>
    </row>
    <row r="216" spans="2:20" ht="15.75" customHeight="1">
      <c r="B216" s="5"/>
      <c r="C216" s="5"/>
      <c r="D216" s="5"/>
      <c r="E216" s="5"/>
      <c r="F216" s="5"/>
      <c r="P216" s="33"/>
      <c r="Q216" s="33"/>
      <c r="R216" s="33"/>
      <c r="S216" s="33"/>
      <c r="T216" s="33"/>
    </row>
    <row r="217" spans="2:20" ht="15.75" customHeight="1">
      <c r="B217" s="5"/>
      <c r="C217" s="5"/>
      <c r="D217" s="5"/>
      <c r="E217" s="5"/>
      <c r="F217" s="5"/>
      <c r="P217" s="33"/>
      <c r="Q217" s="33"/>
      <c r="R217" s="33"/>
      <c r="S217" s="33"/>
      <c r="T217" s="33"/>
    </row>
    <row r="218" spans="2:20" ht="15.75" customHeight="1">
      <c r="B218" s="5"/>
      <c r="C218" s="5"/>
      <c r="D218" s="5"/>
      <c r="E218" s="5"/>
      <c r="F218" s="5"/>
      <c r="P218" s="33"/>
      <c r="Q218" s="33"/>
      <c r="R218" s="33"/>
      <c r="S218" s="33"/>
      <c r="T218" s="33"/>
    </row>
    <row r="219" spans="2:20" ht="15.75" customHeight="1">
      <c r="B219" s="5"/>
      <c r="C219" s="5"/>
      <c r="D219" s="5"/>
      <c r="E219" s="5"/>
      <c r="F219" s="5"/>
      <c r="P219" s="33"/>
      <c r="Q219" s="33"/>
      <c r="R219" s="33"/>
      <c r="S219" s="33"/>
      <c r="T219" s="33"/>
    </row>
    <row r="220" spans="2:20" ht="15.75" customHeight="1">
      <c r="B220" s="5"/>
      <c r="C220" s="5"/>
      <c r="D220" s="5"/>
      <c r="E220" s="5"/>
      <c r="F220" s="5"/>
      <c r="P220" s="33"/>
      <c r="Q220" s="33"/>
      <c r="R220" s="33"/>
      <c r="S220" s="33"/>
      <c r="T220" s="33"/>
    </row>
    <row r="221" spans="2:20" ht="15.75" customHeight="1">
      <c r="B221" s="5"/>
      <c r="C221" s="5"/>
      <c r="D221" s="5"/>
      <c r="E221" s="5"/>
      <c r="F221" s="5"/>
      <c r="P221" s="33"/>
      <c r="Q221" s="33"/>
      <c r="R221" s="33"/>
      <c r="S221" s="33"/>
      <c r="T221" s="33"/>
    </row>
    <row r="222" spans="2:20" ht="15.75" customHeight="1">
      <c r="B222" s="5"/>
      <c r="C222" s="5"/>
      <c r="D222" s="5"/>
      <c r="E222" s="5"/>
      <c r="F222" s="5"/>
      <c r="P222" s="33"/>
      <c r="Q222" s="33"/>
      <c r="R222" s="33"/>
      <c r="S222" s="33"/>
      <c r="T222" s="33"/>
    </row>
    <row r="223" spans="2:20" ht="15.75" customHeight="1">
      <c r="B223" s="5"/>
      <c r="C223" s="5"/>
      <c r="D223" s="5"/>
      <c r="E223" s="5"/>
      <c r="F223" s="5"/>
      <c r="P223" s="33"/>
      <c r="Q223" s="33"/>
      <c r="R223" s="33"/>
      <c r="S223" s="33"/>
      <c r="T223" s="33"/>
    </row>
    <row r="224" spans="2:20" ht="15.75" customHeight="1">
      <c r="B224" s="5"/>
      <c r="C224" s="5"/>
      <c r="D224" s="5"/>
      <c r="E224" s="5"/>
      <c r="F224" s="5"/>
      <c r="P224" s="33"/>
      <c r="Q224" s="33"/>
      <c r="R224" s="33"/>
      <c r="S224" s="33"/>
      <c r="T224" s="33"/>
    </row>
    <row r="225" spans="2:20" ht="15.75" customHeight="1">
      <c r="B225" s="5"/>
      <c r="C225" s="5"/>
      <c r="D225" s="5"/>
      <c r="E225" s="5"/>
      <c r="F225" s="5"/>
      <c r="P225" s="33"/>
      <c r="Q225" s="33"/>
      <c r="R225" s="33"/>
      <c r="S225" s="33"/>
      <c r="T225" s="33"/>
    </row>
    <row r="226" spans="2:20" ht="15.75" customHeight="1">
      <c r="B226" s="5"/>
      <c r="C226" s="5"/>
      <c r="D226" s="5"/>
      <c r="E226" s="5"/>
      <c r="F226" s="5"/>
      <c r="P226" s="33"/>
      <c r="Q226" s="33"/>
      <c r="R226" s="33"/>
      <c r="S226" s="33"/>
      <c r="T226" s="33"/>
    </row>
    <row r="227" spans="2:20" ht="15.75" customHeight="1">
      <c r="B227" s="5"/>
      <c r="C227" s="5"/>
      <c r="D227" s="5"/>
      <c r="E227" s="5"/>
      <c r="F227" s="5"/>
      <c r="P227" s="33"/>
      <c r="Q227" s="33"/>
      <c r="R227" s="33"/>
      <c r="S227" s="33"/>
      <c r="T227" s="33"/>
    </row>
    <row r="228" spans="2:20" ht="15.75" customHeight="1">
      <c r="B228" s="5"/>
      <c r="C228" s="5"/>
      <c r="D228" s="5"/>
      <c r="E228" s="5"/>
      <c r="F228" s="5"/>
      <c r="P228" s="33"/>
      <c r="Q228" s="33"/>
      <c r="R228" s="33"/>
      <c r="S228" s="33"/>
      <c r="T228" s="33"/>
    </row>
    <row r="229" spans="2:20" ht="15.75" customHeight="1">
      <c r="B229" s="5"/>
      <c r="C229" s="5"/>
      <c r="D229" s="5"/>
      <c r="E229" s="5"/>
      <c r="F229" s="5"/>
      <c r="P229" s="33"/>
      <c r="Q229" s="33"/>
      <c r="R229" s="33"/>
      <c r="S229" s="33"/>
      <c r="T229" s="33"/>
    </row>
    <row r="230" spans="2:20" ht="15.75" customHeight="1">
      <c r="B230" s="5"/>
      <c r="C230" s="5"/>
      <c r="D230" s="5"/>
      <c r="E230" s="5"/>
      <c r="F230" s="5"/>
      <c r="P230" s="33"/>
      <c r="Q230" s="33"/>
      <c r="R230" s="33"/>
      <c r="S230" s="33"/>
      <c r="T230" s="33"/>
    </row>
    <row r="231" spans="2:20" ht="15.75" customHeight="1">
      <c r="B231" s="5"/>
      <c r="C231" s="5"/>
      <c r="D231" s="5"/>
      <c r="E231" s="5"/>
      <c r="F231" s="5"/>
      <c r="P231" s="33"/>
      <c r="Q231" s="33"/>
      <c r="R231" s="33"/>
      <c r="S231" s="33"/>
      <c r="T231" s="33"/>
    </row>
    <row r="232" spans="2:20" ht="15.75" customHeight="1">
      <c r="B232" s="5"/>
      <c r="C232" s="5"/>
      <c r="D232" s="5"/>
      <c r="E232" s="5"/>
      <c r="F232" s="5"/>
      <c r="P232" s="33"/>
      <c r="Q232" s="33"/>
      <c r="R232" s="33"/>
      <c r="S232" s="33"/>
      <c r="T232" s="33"/>
    </row>
    <row r="233" spans="2:20" ht="15.75" customHeight="1">
      <c r="B233" s="5"/>
      <c r="C233" s="5"/>
      <c r="D233" s="5"/>
      <c r="E233" s="5"/>
      <c r="F233" s="5"/>
      <c r="P233" s="33"/>
      <c r="Q233" s="33"/>
      <c r="R233" s="33"/>
      <c r="S233" s="33"/>
      <c r="T233" s="33"/>
    </row>
    <row r="234" spans="2:20" ht="15.75" customHeight="1">
      <c r="B234" s="5"/>
      <c r="C234" s="5"/>
      <c r="D234" s="5"/>
      <c r="E234" s="5"/>
      <c r="F234" s="5"/>
      <c r="P234" s="33"/>
      <c r="Q234" s="33"/>
      <c r="R234" s="33"/>
      <c r="S234" s="33"/>
      <c r="T234" s="33"/>
    </row>
    <row r="235" spans="2:20" ht="15.75" customHeight="1">
      <c r="B235" s="5"/>
      <c r="C235" s="5"/>
      <c r="D235" s="5"/>
      <c r="E235" s="5"/>
      <c r="F235" s="5"/>
      <c r="P235" s="33"/>
      <c r="Q235" s="33"/>
      <c r="R235" s="33"/>
      <c r="S235" s="33"/>
      <c r="T235" s="33"/>
    </row>
    <row r="236" spans="2:20" ht="15.75" customHeight="1">
      <c r="B236" s="5"/>
      <c r="C236" s="5"/>
      <c r="D236" s="5"/>
      <c r="E236" s="5"/>
      <c r="F236" s="5"/>
      <c r="P236" s="33"/>
      <c r="Q236" s="33"/>
      <c r="R236" s="33"/>
      <c r="S236" s="33"/>
      <c r="T236" s="33"/>
    </row>
    <row r="237" spans="2:20" ht="15.75" customHeight="1">
      <c r="B237" s="5"/>
      <c r="C237" s="5"/>
      <c r="D237" s="5"/>
      <c r="E237" s="5"/>
      <c r="F237" s="5"/>
      <c r="P237" s="33"/>
      <c r="Q237" s="33"/>
      <c r="R237" s="33"/>
      <c r="S237" s="33"/>
      <c r="T237" s="33"/>
    </row>
    <row r="238" spans="2:20" ht="15.75" customHeight="1">
      <c r="B238" s="5"/>
      <c r="C238" s="5"/>
      <c r="D238" s="5"/>
      <c r="E238" s="5"/>
      <c r="F238" s="5"/>
      <c r="P238" s="33"/>
      <c r="Q238" s="33"/>
      <c r="R238" s="33"/>
      <c r="S238" s="33"/>
      <c r="T238" s="33"/>
    </row>
    <row r="239" spans="2:20" ht="15.75" customHeight="1">
      <c r="B239" s="5"/>
      <c r="C239" s="5"/>
      <c r="D239" s="5"/>
      <c r="E239" s="5"/>
      <c r="F239" s="5"/>
      <c r="P239" s="33"/>
      <c r="Q239" s="33"/>
      <c r="R239" s="33"/>
      <c r="S239" s="33"/>
      <c r="T239" s="33"/>
    </row>
    <row r="240" spans="2:20" ht="15.75" customHeight="1">
      <c r="B240" s="5"/>
      <c r="C240" s="5"/>
      <c r="D240" s="5"/>
      <c r="E240" s="5"/>
      <c r="F240" s="5"/>
      <c r="P240" s="33"/>
      <c r="Q240" s="33"/>
      <c r="R240" s="33"/>
      <c r="S240" s="33"/>
      <c r="T240" s="33"/>
    </row>
    <row r="241" spans="2:20" ht="15.75" customHeight="1">
      <c r="B241" s="5"/>
      <c r="C241" s="5"/>
      <c r="D241" s="5"/>
      <c r="E241" s="5"/>
      <c r="F241" s="5"/>
      <c r="P241" s="33"/>
      <c r="Q241" s="33"/>
      <c r="R241" s="33"/>
      <c r="S241" s="33"/>
      <c r="T241" s="33"/>
    </row>
    <row r="242" spans="2:20" ht="15.75" customHeight="1">
      <c r="B242" s="5"/>
      <c r="C242" s="5"/>
      <c r="D242" s="5"/>
      <c r="E242" s="5"/>
      <c r="F242" s="5"/>
      <c r="P242" s="33"/>
      <c r="Q242" s="33"/>
      <c r="R242" s="33"/>
      <c r="S242" s="33"/>
      <c r="T242" s="33"/>
    </row>
    <row r="243" spans="2:20" ht="15.75" customHeight="1">
      <c r="B243" s="5"/>
      <c r="C243" s="5"/>
      <c r="D243" s="5"/>
      <c r="E243" s="5"/>
      <c r="F243" s="5"/>
      <c r="P243" s="33"/>
      <c r="Q243" s="33"/>
      <c r="R243" s="33"/>
      <c r="S243" s="33"/>
      <c r="T243" s="33"/>
    </row>
    <row r="244" spans="2:20" ht="15.75" customHeight="1">
      <c r="B244" s="5"/>
      <c r="C244" s="5"/>
      <c r="D244" s="5"/>
      <c r="E244" s="5"/>
      <c r="F244" s="5"/>
      <c r="P244" s="33"/>
      <c r="Q244" s="33"/>
      <c r="R244" s="33"/>
      <c r="S244" s="33"/>
      <c r="T244" s="33"/>
    </row>
    <row r="245" spans="2:20" ht="15.75" customHeight="1">
      <c r="B245" s="5"/>
      <c r="C245" s="5"/>
      <c r="D245" s="5"/>
      <c r="E245" s="5"/>
      <c r="F245" s="5"/>
      <c r="P245" s="33"/>
      <c r="Q245" s="33"/>
      <c r="R245" s="33"/>
      <c r="S245" s="33"/>
      <c r="T245" s="33"/>
    </row>
    <row r="246" spans="2:20" ht="15.75" customHeight="1">
      <c r="B246" s="5"/>
      <c r="C246" s="5"/>
      <c r="D246" s="5"/>
      <c r="E246" s="5"/>
      <c r="F246" s="5"/>
      <c r="P246" s="33"/>
      <c r="Q246" s="33"/>
      <c r="R246" s="33"/>
      <c r="S246" s="33"/>
      <c r="T246" s="33"/>
    </row>
    <row r="247" spans="2:20" ht="15.75" customHeight="1">
      <c r="B247" s="5"/>
      <c r="C247" s="5"/>
      <c r="D247" s="5"/>
      <c r="E247" s="5"/>
      <c r="F247" s="5"/>
      <c r="P247" s="33"/>
      <c r="Q247" s="33"/>
      <c r="R247" s="33"/>
      <c r="S247" s="33"/>
      <c r="T247" s="33"/>
    </row>
    <row r="248" spans="2:20" ht="15.75" customHeight="1">
      <c r="B248" s="5"/>
      <c r="C248" s="5"/>
      <c r="D248" s="5"/>
      <c r="E248" s="5"/>
      <c r="F248" s="5"/>
      <c r="P248" s="33"/>
      <c r="Q248" s="33"/>
      <c r="R248" s="33"/>
      <c r="S248" s="33"/>
      <c r="T248" s="33"/>
    </row>
    <row r="249" spans="2:20" ht="15.75" customHeight="1">
      <c r="B249" s="5"/>
      <c r="C249" s="5"/>
      <c r="D249" s="5"/>
      <c r="E249" s="5"/>
      <c r="F249" s="5"/>
      <c r="P249" s="33"/>
      <c r="Q249" s="33"/>
      <c r="R249" s="33"/>
      <c r="S249" s="33"/>
      <c r="T249" s="33"/>
    </row>
    <row r="250" spans="2:20" ht="15.75" customHeight="1">
      <c r="B250" s="5"/>
      <c r="C250" s="5"/>
      <c r="D250" s="5"/>
      <c r="E250" s="5"/>
      <c r="F250" s="5"/>
      <c r="P250" s="33"/>
      <c r="Q250" s="33"/>
      <c r="R250" s="33"/>
      <c r="S250" s="33"/>
      <c r="T250" s="33"/>
    </row>
    <row r="251" spans="2:20" ht="15.75" customHeight="1">
      <c r="B251" s="5"/>
      <c r="C251" s="5"/>
      <c r="D251" s="5"/>
      <c r="E251" s="5"/>
      <c r="F251" s="5"/>
      <c r="P251" s="33"/>
      <c r="Q251" s="33"/>
      <c r="R251" s="33"/>
      <c r="S251" s="33"/>
      <c r="T251" s="33"/>
    </row>
    <row r="252" spans="2:20" ht="15.75" customHeight="1">
      <c r="B252" s="5"/>
      <c r="C252" s="5"/>
      <c r="D252" s="5"/>
      <c r="E252" s="5"/>
      <c r="F252" s="5"/>
      <c r="P252" s="33"/>
      <c r="Q252" s="33"/>
      <c r="R252" s="33"/>
      <c r="S252" s="33"/>
      <c r="T252" s="33"/>
    </row>
    <row r="253" spans="2:20" ht="15.75" customHeight="1">
      <c r="B253" s="5"/>
      <c r="C253" s="5"/>
      <c r="D253" s="5"/>
      <c r="E253" s="5"/>
      <c r="F253" s="5"/>
      <c r="P253" s="33"/>
      <c r="Q253" s="33"/>
      <c r="R253" s="33"/>
      <c r="S253" s="33"/>
      <c r="T253" s="33"/>
    </row>
    <row r="254" spans="2:20" ht="15.75" customHeight="1">
      <c r="B254" s="5"/>
      <c r="C254" s="5"/>
      <c r="D254" s="5"/>
      <c r="E254" s="5"/>
      <c r="F254" s="5"/>
      <c r="P254" s="33"/>
      <c r="Q254" s="33"/>
      <c r="R254" s="33"/>
      <c r="S254" s="33"/>
      <c r="T254" s="33"/>
    </row>
    <row r="255" spans="2:20" ht="15.75" customHeight="1">
      <c r="B255" s="5"/>
      <c r="C255" s="5"/>
      <c r="D255" s="5"/>
      <c r="E255" s="5"/>
      <c r="F255" s="5"/>
      <c r="P255" s="33"/>
      <c r="Q255" s="33"/>
      <c r="R255" s="33"/>
      <c r="S255" s="33"/>
      <c r="T255" s="33"/>
    </row>
    <row r="256" spans="2:20" ht="15.75" customHeight="1">
      <c r="B256" s="5"/>
      <c r="C256" s="5"/>
      <c r="D256" s="5"/>
      <c r="E256" s="5"/>
      <c r="F256" s="5"/>
      <c r="P256" s="33"/>
      <c r="Q256" s="33"/>
      <c r="R256" s="33"/>
      <c r="S256" s="33"/>
      <c r="T256" s="33"/>
    </row>
    <row r="257" spans="2:20" ht="15.75" customHeight="1">
      <c r="B257" s="5"/>
      <c r="C257" s="5"/>
      <c r="D257" s="5"/>
      <c r="E257" s="5"/>
      <c r="F257" s="5"/>
      <c r="P257" s="33"/>
      <c r="Q257" s="33"/>
      <c r="R257" s="33"/>
      <c r="S257" s="33"/>
      <c r="T257" s="33"/>
    </row>
    <row r="258" spans="2:20" ht="15.75" customHeight="1">
      <c r="B258" s="5"/>
      <c r="C258" s="5"/>
      <c r="D258" s="5"/>
      <c r="E258" s="5"/>
      <c r="F258" s="5"/>
      <c r="P258" s="33"/>
      <c r="Q258" s="33"/>
      <c r="R258" s="33"/>
      <c r="S258" s="33"/>
      <c r="T258" s="33"/>
    </row>
    <row r="259" spans="2:20" ht="15.75" customHeight="1">
      <c r="B259" s="5"/>
      <c r="C259" s="5"/>
      <c r="D259" s="5"/>
      <c r="E259" s="5"/>
      <c r="F259" s="5"/>
      <c r="P259" s="33"/>
      <c r="Q259" s="33"/>
      <c r="R259" s="33"/>
      <c r="S259" s="33"/>
      <c r="T259" s="33"/>
    </row>
    <row r="260" spans="2:20" ht="15.75" customHeight="1">
      <c r="B260" s="5"/>
      <c r="C260" s="5"/>
      <c r="D260" s="5"/>
      <c r="E260" s="5"/>
      <c r="F260" s="5"/>
      <c r="P260" s="33"/>
      <c r="Q260" s="33"/>
      <c r="R260" s="33"/>
      <c r="S260" s="33"/>
      <c r="T260" s="33"/>
    </row>
    <row r="261" spans="2:20" ht="15.75" customHeight="1">
      <c r="B261" s="5"/>
      <c r="C261" s="5"/>
      <c r="D261" s="5"/>
      <c r="E261" s="5"/>
      <c r="F261" s="5"/>
      <c r="P261" s="33"/>
      <c r="Q261" s="33"/>
      <c r="R261" s="33"/>
      <c r="S261" s="33"/>
      <c r="T261" s="33"/>
    </row>
    <row r="262" spans="2:20" ht="15.75" customHeight="1">
      <c r="B262" s="5"/>
      <c r="C262" s="5"/>
      <c r="D262" s="5"/>
      <c r="E262" s="5"/>
      <c r="F262" s="5"/>
      <c r="P262" s="33"/>
      <c r="Q262" s="33"/>
      <c r="R262" s="33"/>
      <c r="S262" s="33"/>
      <c r="T262" s="33"/>
    </row>
    <row r="263" spans="2:20" ht="15.75" customHeight="1">
      <c r="B263" s="5"/>
      <c r="C263" s="5"/>
      <c r="D263" s="5"/>
      <c r="E263" s="5"/>
      <c r="F263" s="5"/>
      <c r="P263" s="33"/>
      <c r="Q263" s="33"/>
      <c r="R263" s="33"/>
      <c r="S263" s="33"/>
      <c r="T263" s="33"/>
    </row>
    <row r="264" spans="2:20" ht="15.75" customHeight="1">
      <c r="B264" s="5"/>
      <c r="C264" s="5"/>
      <c r="D264" s="5"/>
      <c r="E264" s="5"/>
      <c r="F264" s="5"/>
      <c r="P264" s="33"/>
      <c r="Q264" s="33"/>
      <c r="R264" s="33"/>
      <c r="S264" s="33"/>
      <c r="T264" s="33"/>
    </row>
    <row r="265" spans="2:20" ht="15.75" customHeight="1">
      <c r="B265" s="5"/>
      <c r="C265" s="5"/>
      <c r="D265" s="5"/>
      <c r="E265" s="5"/>
      <c r="F265" s="5"/>
      <c r="P265" s="33"/>
      <c r="Q265" s="33"/>
      <c r="R265" s="33"/>
      <c r="S265" s="33"/>
      <c r="T265" s="33"/>
    </row>
    <row r="266" spans="2:20" ht="15.75" customHeight="1">
      <c r="B266" s="5"/>
      <c r="C266" s="5"/>
      <c r="D266" s="5"/>
      <c r="E266" s="5"/>
      <c r="F266" s="5"/>
      <c r="P266" s="33"/>
      <c r="Q266" s="33"/>
      <c r="R266" s="33"/>
      <c r="S266" s="33"/>
      <c r="T266" s="33"/>
    </row>
    <row r="267" spans="2:20" ht="15.75" customHeight="1">
      <c r="B267" s="5"/>
      <c r="C267" s="5"/>
      <c r="D267" s="5"/>
      <c r="E267" s="5"/>
      <c r="F267" s="5"/>
      <c r="P267" s="33"/>
      <c r="Q267" s="33"/>
      <c r="R267" s="33"/>
      <c r="S267" s="33"/>
      <c r="T267" s="33"/>
    </row>
    <row r="268" spans="2:20" ht="15.75" customHeight="1">
      <c r="B268" s="5"/>
      <c r="C268" s="5"/>
      <c r="D268" s="5"/>
      <c r="E268" s="5"/>
      <c r="F268" s="5"/>
      <c r="P268" s="33"/>
      <c r="Q268" s="33"/>
      <c r="R268" s="33"/>
      <c r="S268" s="33"/>
      <c r="T268" s="33"/>
    </row>
    <row r="269" spans="2:20" ht="15.75" customHeight="1">
      <c r="B269" s="5"/>
      <c r="C269" s="5"/>
      <c r="D269" s="5"/>
      <c r="E269" s="5"/>
      <c r="F269" s="5"/>
      <c r="P269" s="33"/>
      <c r="Q269" s="33"/>
      <c r="R269" s="33"/>
      <c r="S269" s="33"/>
      <c r="T269" s="33"/>
    </row>
    <row r="270" spans="2:20" ht="15.75" customHeight="1">
      <c r="B270" s="5"/>
      <c r="C270" s="5"/>
      <c r="D270" s="5"/>
      <c r="E270" s="5"/>
      <c r="F270" s="5"/>
      <c r="P270" s="33"/>
      <c r="Q270" s="33"/>
      <c r="R270" s="33"/>
      <c r="S270" s="33"/>
      <c r="T270" s="33"/>
    </row>
    <row r="271" spans="2:20" ht="15.75" customHeight="1">
      <c r="B271" s="5"/>
      <c r="C271" s="5"/>
      <c r="D271" s="5"/>
      <c r="E271" s="5"/>
      <c r="F271" s="5"/>
      <c r="P271" s="33"/>
      <c r="Q271" s="33"/>
      <c r="R271" s="33"/>
      <c r="S271" s="33"/>
      <c r="T271" s="33"/>
    </row>
    <row r="272" spans="2:20" ht="15.75" customHeight="1">
      <c r="B272" s="5"/>
      <c r="C272" s="5"/>
      <c r="D272" s="5"/>
      <c r="E272" s="5"/>
      <c r="F272" s="5"/>
      <c r="P272" s="33"/>
      <c r="Q272" s="33"/>
      <c r="R272" s="33"/>
      <c r="S272" s="33"/>
      <c r="T272" s="33"/>
    </row>
    <row r="273" spans="2:20" ht="15.75" customHeight="1">
      <c r="B273" s="5"/>
      <c r="C273" s="5"/>
      <c r="D273" s="5"/>
      <c r="E273" s="5"/>
      <c r="F273" s="5"/>
      <c r="P273" s="33"/>
      <c r="Q273" s="33"/>
      <c r="R273" s="33"/>
      <c r="S273" s="33"/>
      <c r="T273" s="33"/>
    </row>
    <row r="274" spans="2:20" ht="15.75" customHeight="1">
      <c r="B274" s="5"/>
      <c r="C274" s="5"/>
      <c r="D274" s="5"/>
      <c r="E274" s="5"/>
      <c r="F274" s="5"/>
      <c r="P274" s="33"/>
      <c r="Q274" s="33"/>
      <c r="R274" s="33"/>
      <c r="S274" s="33"/>
      <c r="T274" s="33"/>
    </row>
    <row r="275" spans="2:20" ht="15.75" customHeight="1">
      <c r="B275" s="5"/>
      <c r="C275" s="5"/>
      <c r="D275" s="5"/>
      <c r="E275" s="5"/>
      <c r="F275" s="5"/>
      <c r="P275" s="33"/>
      <c r="Q275" s="33"/>
      <c r="R275" s="33"/>
      <c r="S275" s="33"/>
      <c r="T275" s="33"/>
    </row>
    <row r="276" spans="2:20" ht="15.75" customHeight="1">
      <c r="B276" s="5"/>
      <c r="C276" s="5"/>
      <c r="D276" s="5"/>
      <c r="E276" s="5"/>
      <c r="F276" s="5"/>
      <c r="P276" s="33"/>
      <c r="Q276" s="33"/>
      <c r="R276" s="33"/>
      <c r="S276" s="33"/>
      <c r="T276" s="33"/>
    </row>
    <row r="277" spans="2:20" ht="15.75" customHeight="1">
      <c r="B277" s="5"/>
      <c r="C277" s="5"/>
      <c r="D277" s="5"/>
      <c r="E277" s="5"/>
      <c r="F277" s="5"/>
      <c r="P277" s="33"/>
      <c r="Q277" s="33"/>
      <c r="R277" s="33"/>
      <c r="S277" s="33"/>
      <c r="T277" s="33"/>
    </row>
    <row r="278" spans="2:20" ht="15.75" customHeight="1">
      <c r="B278" s="5"/>
      <c r="C278" s="5"/>
      <c r="D278" s="5"/>
      <c r="E278" s="5"/>
      <c r="F278" s="5"/>
      <c r="P278" s="33"/>
      <c r="Q278" s="33"/>
      <c r="R278" s="33"/>
      <c r="S278" s="33"/>
      <c r="T278" s="33"/>
    </row>
    <row r="279" spans="2:20" ht="15.75" customHeight="1">
      <c r="B279" s="5"/>
      <c r="C279" s="5"/>
      <c r="D279" s="5"/>
      <c r="E279" s="5"/>
      <c r="F279" s="5"/>
      <c r="P279" s="33"/>
      <c r="Q279" s="33"/>
      <c r="R279" s="33"/>
      <c r="S279" s="33"/>
      <c r="T279" s="33"/>
    </row>
    <row r="280" spans="2:20" ht="15.75" customHeight="1">
      <c r="B280" s="5"/>
      <c r="C280" s="5"/>
      <c r="D280" s="5"/>
      <c r="E280" s="5"/>
      <c r="F280" s="5"/>
      <c r="P280" s="33"/>
      <c r="Q280" s="33"/>
      <c r="R280" s="33"/>
      <c r="S280" s="33"/>
      <c r="T280" s="33"/>
    </row>
    <row r="281" spans="2:20" ht="15.75" customHeight="1">
      <c r="B281" s="5"/>
      <c r="C281" s="5"/>
      <c r="D281" s="5"/>
      <c r="E281" s="5"/>
      <c r="F281" s="5"/>
      <c r="P281" s="33"/>
      <c r="Q281" s="33"/>
      <c r="R281" s="33"/>
      <c r="S281" s="33"/>
      <c r="T281" s="33"/>
    </row>
    <row r="282" spans="2:20" ht="15.75" customHeight="1">
      <c r="B282" s="5"/>
      <c r="C282" s="5"/>
      <c r="D282" s="5"/>
      <c r="E282" s="5"/>
      <c r="F282" s="5"/>
      <c r="P282" s="33"/>
      <c r="Q282" s="33"/>
      <c r="R282" s="33"/>
      <c r="S282" s="33"/>
      <c r="T282" s="33"/>
    </row>
    <row r="283" spans="2:20" ht="15.75" customHeight="1">
      <c r="B283" s="5"/>
      <c r="C283" s="5"/>
      <c r="D283" s="5"/>
      <c r="E283" s="5"/>
      <c r="F283" s="5"/>
      <c r="P283" s="33"/>
      <c r="Q283" s="33"/>
      <c r="R283" s="33"/>
      <c r="S283" s="33"/>
      <c r="T283" s="33"/>
    </row>
    <row r="284" spans="2:20" ht="15.75" customHeight="1">
      <c r="B284" s="5"/>
      <c r="C284" s="5"/>
      <c r="D284" s="5"/>
      <c r="E284" s="5"/>
      <c r="F284" s="5"/>
      <c r="P284" s="33"/>
      <c r="Q284" s="33"/>
      <c r="R284" s="33"/>
      <c r="S284" s="33"/>
      <c r="T284" s="33"/>
    </row>
    <row r="285" spans="2:20" ht="15.75" customHeight="1">
      <c r="B285" s="5"/>
      <c r="C285" s="5"/>
      <c r="D285" s="5"/>
      <c r="E285" s="5"/>
      <c r="F285" s="5"/>
      <c r="P285" s="33"/>
      <c r="Q285" s="33"/>
      <c r="R285" s="33"/>
      <c r="S285" s="33"/>
      <c r="T285" s="33"/>
    </row>
    <row r="286" spans="2:20" ht="15.75" customHeight="1">
      <c r="B286" s="5"/>
      <c r="C286" s="5"/>
      <c r="D286" s="5"/>
      <c r="E286" s="5"/>
      <c r="F286" s="5"/>
      <c r="P286" s="33"/>
      <c r="Q286" s="33"/>
      <c r="R286" s="33"/>
      <c r="S286" s="33"/>
      <c r="T286" s="33"/>
    </row>
    <row r="287" spans="2:20" ht="15.75" customHeight="1">
      <c r="B287" s="5"/>
      <c r="C287" s="5"/>
      <c r="D287" s="5"/>
      <c r="E287" s="5"/>
      <c r="F287" s="5"/>
      <c r="P287" s="33"/>
      <c r="Q287" s="33"/>
      <c r="R287" s="33"/>
      <c r="S287" s="33"/>
      <c r="T287" s="33"/>
    </row>
    <row r="288" spans="2:20" ht="15.75" customHeight="1">
      <c r="B288" s="5"/>
      <c r="C288" s="5"/>
      <c r="D288" s="5"/>
      <c r="E288" s="5"/>
      <c r="F288" s="5"/>
      <c r="P288" s="33"/>
      <c r="Q288" s="33"/>
      <c r="R288" s="33"/>
      <c r="S288" s="33"/>
      <c r="T288" s="33"/>
    </row>
    <row r="289" spans="2:20" ht="15.75" customHeight="1">
      <c r="B289" s="5"/>
      <c r="C289" s="5"/>
      <c r="D289" s="5"/>
      <c r="E289" s="5"/>
      <c r="F289" s="5"/>
      <c r="P289" s="33"/>
      <c r="Q289" s="33"/>
      <c r="R289" s="33"/>
      <c r="S289" s="33"/>
      <c r="T289" s="33"/>
    </row>
    <row r="290" spans="2:20" ht="15.75" customHeight="1">
      <c r="B290" s="5"/>
      <c r="C290" s="5"/>
      <c r="D290" s="5"/>
      <c r="E290" s="5"/>
      <c r="F290" s="5"/>
      <c r="P290" s="33"/>
      <c r="Q290" s="33"/>
      <c r="R290" s="33"/>
      <c r="S290" s="33"/>
      <c r="T290" s="33"/>
    </row>
    <row r="291" spans="2:20" ht="15.75" customHeight="1">
      <c r="B291" s="5"/>
      <c r="C291" s="5"/>
      <c r="D291" s="5"/>
      <c r="E291" s="5"/>
      <c r="F291" s="5"/>
      <c r="P291" s="33"/>
      <c r="Q291" s="33"/>
      <c r="R291" s="33"/>
      <c r="S291" s="33"/>
      <c r="T291" s="33"/>
    </row>
    <row r="292" spans="2:20" ht="15.75" customHeight="1">
      <c r="B292" s="5"/>
      <c r="C292" s="5"/>
      <c r="D292" s="5"/>
      <c r="E292" s="5"/>
      <c r="F292" s="5"/>
      <c r="P292" s="33"/>
      <c r="Q292" s="33"/>
      <c r="R292" s="33"/>
      <c r="S292" s="33"/>
      <c r="T292" s="33"/>
    </row>
    <row r="293" spans="2:20" ht="15.75" customHeight="1">
      <c r="B293" s="5"/>
      <c r="C293" s="5"/>
      <c r="D293" s="5"/>
      <c r="E293" s="5"/>
      <c r="F293" s="5"/>
      <c r="P293" s="33"/>
      <c r="Q293" s="33"/>
      <c r="R293" s="33"/>
      <c r="S293" s="33"/>
      <c r="T293" s="33"/>
    </row>
    <row r="294" spans="2:20" ht="15.75" customHeight="1">
      <c r="B294" s="5"/>
      <c r="C294" s="5"/>
      <c r="D294" s="5"/>
      <c r="E294" s="5"/>
      <c r="F294" s="5"/>
      <c r="P294" s="33"/>
      <c r="Q294" s="33"/>
      <c r="R294" s="33"/>
      <c r="S294" s="33"/>
      <c r="T294" s="33"/>
    </row>
    <row r="295" spans="2:20" ht="15.75" customHeight="1">
      <c r="B295" s="5"/>
      <c r="C295" s="5"/>
      <c r="D295" s="5"/>
      <c r="E295" s="5"/>
      <c r="F295" s="5"/>
      <c r="P295" s="33"/>
      <c r="Q295" s="33"/>
      <c r="R295" s="33"/>
      <c r="S295" s="33"/>
      <c r="T295" s="33"/>
    </row>
    <row r="296" spans="2:20" ht="15.75" customHeight="1">
      <c r="B296" s="5"/>
      <c r="C296" s="5"/>
      <c r="D296" s="5"/>
      <c r="E296" s="5"/>
      <c r="F296" s="5"/>
      <c r="P296" s="33"/>
      <c r="Q296" s="33"/>
      <c r="R296" s="33"/>
      <c r="S296" s="33"/>
      <c r="T296" s="33"/>
    </row>
    <row r="297" spans="2:20" ht="15.75" customHeight="1">
      <c r="B297" s="5"/>
      <c r="C297" s="5"/>
      <c r="D297" s="5"/>
      <c r="E297" s="5"/>
      <c r="F297" s="5"/>
      <c r="P297" s="33"/>
      <c r="Q297" s="33"/>
      <c r="R297" s="33"/>
      <c r="S297" s="33"/>
      <c r="T297" s="33"/>
    </row>
    <row r="298" spans="2:20" ht="15.75" customHeight="1">
      <c r="B298" s="5"/>
      <c r="C298" s="5"/>
      <c r="D298" s="5"/>
      <c r="E298" s="5"/>
      <c r="F298" s="5"/>
      <c r="P298" s="33"/>
      <c r="Q298" s="33"/>
      <c r="R298" s="33"/>
      <c r="S298" s="33"/>
      <c r="T298" s="33"/>
    </row>
    <row r="299" spans="2:20" ht="15.75" customHeight="1">
      <c r="B299" s="5"/>
      <c r="C299" s="5"/>
      <c r="D299" s="5"/>
      <c r="E299" s="5"/>
      <c r="F299" s="5"/>
      <c r="P299" s="33"/>
      <c r="Q299" s="33"/>
      <c r="R299" s="33"/>
      <c r="S299" s="33"/>
      <c r="T299" s="33"/>
    </row>
    <row r="300" spans="2:20" ht="15.75" customHeight="1">
      <c r="B300" s="5"/>
      <c r="C300" s="5"/>
      <c r="D300" s="5"/>
      <c r="E300" s="5"/>
      <c r="F300" s="5"/>
      <c r="P300" s="33"/>
      <c r="Q300" s="33"/>
      <c r="R300" s="33"/>
      <c r="S300" s="33"/>
      <c r="T300" s="33"/>
    </row>
    <row r="301" spans="2:20" ht="15.75" customHeight="1">
      <c r="B301" s="5"/>
      <c r="C301" s="5"/>
      <c r="D301" s="5"/>
      <c r="E301" s="5"/>
      <c r="F301" s="5"/>
      <c r="P301" s="33"/>
      <c r="Q301" s="33"/>
      <c r="R301" s="33"/>
      <c r="S301" s="33"/>
      <c r="T301" s="33"/>
    </row>
    <row r="302" spans="2:20" ht="15.75" customHeight="1">
      <c r="B302" s="5"/>
      <c r="C302" s="5"/>
      <c r="D302" s="5"/>
      <c r="E302" s="5"/>
      <c r="F302" s="5"/>
      <c r="P302" s="33"/>
      <c r="Q302" s="33"/>
      <c r="R302" s="33"/>
      <c r="S302" s="33"/>
      <c r="T302" s="33"/>
    </row>
    <row r="303" spans="2:20" ht="15.75" customHeight="1">
      <c r="B303" s="5"/>
      <c r="C303" s="5"/>
      <c r="D303" s="5"/>
      <c r="E303" s="5"/>
      <c r="F303" s="5"/>
      <c r="P303" s="33"/>
      <c r="Q303" s="33"/>
      <c r="R303" s="33"/>
      <c r="S303" s="33"/>
      <c r="T303" s="33"/>
    </row>
    <row r="304" spans="2:20" ht="15.75" customHeight="1">
      <c r="B304" s="5"/>
      <c r="C304" s="5"/>
      <c r="D304" s="5"/>
      <c r="E304" s="5"/>
      <c r="F304" s="5"/>
      <c r="P304" s="33"/>
      <c r="Q304" s="33"/>
      <c r="R304" s="33"/>
      <c r="S304" s="33"/>
      <c r="T304" s="33"/>
    </row>
    <row r="305" spans="2:20" ht="15.75" customHeight="1">
      <c r="B305" s="5"/>
      <c r="C305" s="5"/>
      <c r="D305" s="5"/>
      <c r="E305" s="5"/>
      <c r="F305" s="5"/>
      <c r="P305" s="33"/>
      <c r="Q305" s="33"/>
      <c r="R305" s="33"/>
      <c r="S305" s="33"/>
      <c r="T305" s="33"/>
    </row>
    <row r="306" spans="2:20" ht="15.75" customHeight="1">
      <c r="B306" s="5"/>
      <c r="C306" s="5"/>
      <c r="D306" s="5"/>
      <c r="E306" s="5"/>
      <c r="F306" s="5"/>
      <c r="P306" s="33"/>
      <c r="Q306" s="33"/>
      <c r="R306" s="33"/>
      <c r="S306" s="33"/>
      <c r="T306" s="33"/>
    </row>
    <row r="307" spans="2:20" ht="15.75" customHeight="1">
      <c r="B307" s="5"/>
      <c r="C307" s="5"/>
      <c r="D307" s="5"/>
      <c r="E307" s="5"/>
      <c r="F307" s="5"/>
      <c r="P307" s="33"/>
      <c r="Q307" s="33"/>
      <c r="R307" s="33"/>
      <c r="S307" s="33"/>
      <c r="T307" s="33"/>
    </row>
    <row r="308" spans="2:20" ht="15.75" customHeight="1">
      <c r="B308" s="5"/>
      <c r="C308" s="5"/>
      <c r="D308" s="5"/>
      <c r="E308" s="5"/>
      <c r="F308" s="5"/>
      <c r="P308" s="33"/>
      <c r="Q308" s="33"/>
      <c r="R308" s="33"/>
      <c r="S308" s="33"/>
      <c r="T308" s="33"/>
    </row>
    <row r="309" spans="2:20" ht="15.75" customHeight="1">
      <c r="B309" s="5"/>
      <c r="C309" s="5"/>
      <c r="D309" s="5"/>
      <c r="E309" s="5"/>
      <c r="F309" s="5"/>
      <c r="P309" s="33"/>
      <c r="Q309" s="33"/>
      <c r="R309" s="33"/>
      <c r="S309" s="33"/>
      <c r="T309" s="33"/>
    </row>
    <row r="310" spans="2:20" ht="15.75" customHeight="1">
      <c r="B310" s="5"/>
      <c r="C310" s="5"/>
      <c r="D310" s="5"/>
      <c r="E310" s="5"/>
      <c r="F310" s="5"/>
      <c r="P310" s="33"/>
      <c r="Q310" s="33"/>
      <c r="R310" s="33"/>
      <c r="S310" s="33"/>
      <c r="T310" s="33"/>
    </row>
    <row r="311" spans="2:20" ht="15.75" customHeight="1">
      <c r="B311" s="5"/>
      <c r="C311" s="5"/>
      <c r="D311" s="5"/>
      <c r="E311" s="5"/>
      <c r="F311" s="5"/>
      <c r="P311" s="33"/>
      <c r="Q311" s="33"/>
      <c r="R311" s="33"/>
      <c r="S311" s="33"/>
      <c r="T311" s="33"/>
    </row>
    <row r="312" spans="2:20" ht="15.75" customHeight="1">
      <c r="B312" s="5"/>
      <c r="C312" s="5"/>
      <c r="D312" s="5"/>
      <c r="E312" s="5"/>
      <c r="F312" s="5"/>
      <c r="P312" s="33"/>
      <c r="Q312" s="33"/>
      <c r="R312" s="33"/>
      <c r="S312" s="33"/>
      <c r="T312" s="33"/>
    </row>
    <row r="313" spans="2:20" ht="15.75" customHeight="1">
      <c r="B313" s="5"/>
      <c r="C313" s="5"/>
      <c r="D313" s="5"/>
      <c r="E313" s="5"/>
      <c r="F313" s="5"/>
      <c r="P313" s="33"/>
      <c r="Q313" s="33"/>
      <c r="R313" s="33"/>
      <c r="S313" s="33"/>
      <c r="T313" s="33"/>
    </row>
    <row r="314" spans="2:20" ht="15.75" customHeight="1">
      <c r="B314" s="5"/>
      <c r="C314" s="5"/>
      <c r="D314" s="5"/>
      <c r="E314" s="5"/>
      <c r="F314" s="5"/>
      <c r="P314" s="33"/>
      <c r="Q314" s="33"/>
      <c r="R314" s="33"/>
      <c r="S314" s="33"/>
      <c r="T314" s="33"/>
    </row>
    <row r="315" spans="2:20" ht="15.75" customHeight="1">
      <c r="B315" s="5"/>
      <c r="C315" s="5"/>
      <c r="D315" s="5"/>
      <c r="E315" s="5"/>
      <c r="F315" s="5"/>
      <c r="P315" s="33"/>
      <c r="Q315" s="33"/>
      <c r="R315" s="33"/>
      <c r="S315" s="33"/>
      <c r="T315" s="33"/>
    </row>
    <row r="316" spans="2:20" ht="15.75" customHeight="1">
      <c r="B316" s="5"/>
      <c r="C316" s="5"/>
      <c r="D316" s="5"/>
      <c r="E316" s="5"/>
      <c r="F316" s="5"/>
      <c r="P316" s="33"/>
      <c r="Q316" s="33"/>
      <c r="R316" s="33"/>
      <c r="S316" s="33"/>
      <c r="T316" s="33"/>
    </row>
    <row r="317" spans="2:20" ht="15.75" customHeight="1">
      <c r="B317" s="5"/>
      <c r="C317" s="5"/>
      <c r="D317" s="5"/>
      <c r="E317" s="5"/>
      <c r="F317" s="5"/>
      <c r="P317" s="33"/>
      <c r="Q317" s="33"/>
      <c r="R317" s="33"/>
      <c r="S317" s="33"/>
      <c r="T317" s="33"/>
    </row>
    <row r="318" spans="2:20" ht="15.75" customHeight="1">
      <c r="B318" s="5"/>
      <c r="C318" s="5"/>
      <c r="D318" s="5"/>
      <c r="E318" s="5"/>
      <c r="F318" s="5"/>
      <c r="P318" s="33"/>
      <c r="Q318" s="33"/>
      <c r="R318" s="33"/>
      <c r="S318" s="33"/>
      <c r="T318" s="33"/>
    </row>
    <row r="319" spans="2:20" ht="15.75" customHeight="1">
      <c r="B319" s="5"/>
      <c r="C319" s="5"/>
      <c r="D319" s="5"/>
      <c r="E319" s="5"/>
      <c r="F319" s="5"/>
      <c r="P319" s="33"/>
      <c r="Q319" s="33"/>
      <c r="R319" s="33"/>
      <c r="S319" s="33"/>
      <c r="T319" s="33"/>
    </row>
    <row r="320" spans="2:20" ht="15.75" customHeight="1">
      <c r="B320" s="5"/>
      <c r="C320" s="5"/>
      <c r="D320" s="5"/>
      <c r="E320" s="5"/>
      <c r="F320" s="5"/>
      <c r="P320" s="33"/>
      <c r="Q320" s="33"/>
      <c r="R320" s="33"/>
      <c r="S320" s="33"/>
      <c r="T320" s="33"/>
    </row>
    <row r="321" spans="2:20" ht="15.75" customHeight="1">
      <c r="B321" s="5"/>
      <c r="C321" s="5"/>
      <c r="D321" s="5"/>
      <c r="E321" s="5"/>
      <c r="F321" s="5"/>
      <c r="P321" s="33"/>
      <c r="Q321" s="33"/>
      <c r="R321" s="33"/>
      <c r="S321" s="33"/>
      <c r="T321" s="33"/>
    </row>
    <row r="322" spans="2:20" ht="15.75" customHeight="1">
      <c r="B322" s="5"/>
      <c r="C322" s="5"/>
      <c r="D322" s="5"/>
      <c r="E322" s="5"/>
      <c r="F322" s="5"/>
      <c r="P322" s="33"/>
      <c r="Q322" s="33"/>
      <c r="R322" s="33"/>
      <c r="S322" s="33"/>
      <c r="T322" s="33"/>
    </row>
    <row r="323" spans="2:20" ht="15.75" customHeight="1">
      <c r="B323" s="5"/>
      <c r="C323" s="5"/>
      <c r="D323" s="5"/>
      <c r="E323" s="5"/>
      <c r="F323" s="5"/>
      <c r="P323" s="33"/>
      <c r="Q323" s="33"/>
      <c r="R323" s="33"/>
      <c r="S323" s="33"/>
      <c r="T323" s="33"/>
    </row>
    <row r="324" spans="2:20" ht="15.75" customHeight="1">
      <c r="B324" s="5"/>
      <c r="C324" s="5"/>
      <c r="D324" s="5"/>
      <c r="E324" s="5"/>
      <c r="F324" s="5"/>
      <c r="P324" s="33"/>
      <c r="Q324" s="33"/>
      <c r="R324" s="33"/>
      <c r="S324" s="33"/>
      <c r="T324" s="33"/>
    </row>
    <row r="325" spans="2:20" ht="15.75" customHeight="1">
      <c r="B325" s="5"/>
      <c r="C325" s="5"/>
      <c r="D325" s="5"/>
      <c r="E325" s="5"/>
      <c r="F325" s="5"/>
      <c r="P325" s="33"/>
      <c r="Q325" s="33"/>
      <c r="R325" s="33"/>
      <c r="S325" s="33"/>
      <c r="T325" s="33"/>
    </row>
    <row r="326" spans="2:20" ht="15.75" customHeight="1">
      <c r="B326" s="5"/>
      <c r="C326" s="5"/>
      <c r="D326" s="5"/>
      <c r="E326" s="5"/>
      <c r="F326" s="5"/>
      <c r="P326" s="33"/>
      <c r="Q326" s="33"/>
      <c r="R326" s="33"/>
      <c r="S326" s="33"/>
      <c r="T326" s="33"/>
    </row>
    <row r="327" spans="2:20" ht="15.75" customHeight="1">
      <c r="B327" s="5"/>
      <c r="C327" s="5"/>
      <c r="D327" s="5"/>
      <c r="E327" s="5"/>
      <c r="F327" s="5"/>
      <c r="P327" s="33"/>
      <c r="Q327" s="33"/>
      <c r="R327" s="33"/>
      <c r="S327" s="33"/>
      <c r="T327" s="33"/>
    </row>
    <row r="328" spans="2:20" ht="15.75" customHeight="1">
      <c r="B328" s="5"/>
      <c r="C328" s="5"/>
      <c r="D328" s="5"/>
      <c r="E328" s="5"/>
      <c r="F328" s="5"/>
      <c r="P328" s="33"/>
      <c r="Q328" s="33"/>
      <c r="R328" s="33"/>
      <c r="S328" s="33"/>
      <c r="T328" s="33"/>
    </row>
    <row r="329" spans="2:20" ht="15.75" customHeight="1">
      <c r="B329" s="5"/>
      <c r="C329" s="5"/>
      <c r="D329" s="5"/>
      <c r="E329" s="5"/>
      <c r="F329" s="5"/>
      <c r="P329" s="33"/>
      <c r="Q329" s="33"/>
      <c r="R329" s="33"/>
      <c r="S329" s="33"/>
      <c r="T329" s="33"/>
    </row>
    <row r="330" spans="2:20" ht="15.75" customHeight="1">
      <c r="B330" s="5"/>
      <c r="C330" s="5"/>
      <c r="D330" s="5"/>
      <c r="E330" s="5"/>
      <c r="F330" s="5"/>
      <c r="P330" s="33"/>
      <c r="Q330" s="33"/>
      <c r="R330" s="33"/>
      <c r="S330" s="33"/>
      <c r="T330" s="33"/>
    </row>
    <row r="331" spans="2:20" ht="15.75" customHeight="1">
      <c r="B331" s="5"/>
      <c r="C331" s="5"/>
      <c r="D331" s="5"/>
      <c r="E331" s="5"/>
      <c r="F331" s="5"/>
      <c r="P331" s="33"/>
      <c r="Q331" s="33"/>
      <c r="R331" s="33"/>
      <c r="S331" s="33"/>
      <c r="T331" s="33"/>
    </row>
    <row r="332" spans="2:20" ht="15.75" customHeight="1">
      <c r="B332" s="5"/>
      <c r="C332" s="5"/>
      <c r="D332" s="5"/>
      <c r="E332" s="5"/>
      <c r="F332" s="5"/>
      <c r="P332" s="33"/>
      <c r="Q332" s="33"/>
      <c r="R332" s="33"/>
      <c r="S332" s="33"/>
      <c r="T332" s="33"/>
    </row>
    <row r="333" spans="2:20" ht="15.75" customHeight="1">
      <c r="B333" s="5"/>
      <c r="C333" s="5"/>
      <c r="D333" s="5"/>
      <c r="E333" s="5"/>
      <c r="F333" s="5"/>
      <c r="P333" s="33"/>
      <c r="Q333" s="33"/>
      <c r="R333" s="33"/>
      <c r="S333" s="33"/>
      <c r="T333" s="33"/>
    </row>
    <row r="334" spans="2:20" ht="15.75" customHeight="1">
      <c r="B334" s="5"/>
      <c r="C334" s="5"/>
      <c r="D334" s="5"/>
      <c r="E334" s="5"/>
      <c r="F334" s="5"/>
      <c r="P334" s="33"/>
      <c r="Q334" s="33"/>
      <c r="R334" s="33"/>
      <c r="S334" s="33"/>
      <c r="T334" s="33"/>
    </row>
    <row r="335" spans="2:20" ht="15.75" customHeight="1">
      <c r="B335" s="5"/>
      <c r="C335" s="5"/>
      <c r="D335" s="5"/>
      <c r="E335" s="5"/>
      <c r="F335" s="5"/>
      <c r="P335" s="33"/>
      <c r="Q335" s="33"/>
      <c r="R335" s="33"/>
      <c r="S335" s="33"/>
      <c r="T335" s="33"/>
    </row>
    <row r="336" spans="2:20" ht="15.75" customHeight="1">
      <c r="B336" s="5"/>
      <c r="C336" s="5"/>
      <c r="D336" s="5"/>
      <c r="E336" s="5"/>
      <c r="F336" s="5"/>
      <c r="P336" s="33"/>
      <c r="Q336" s="33"/>
      <c r="R336" s="33"/>
      <c r="S336" s="33"/>
      <c r="T336" s="33"/>
    </row>
    <row r="337" spans="2:20" ht="15.75" customHeight="1">
      <c r="B337" s="5"/>
      <c r="C337" s="5"/>
      <c r="D337" s="5"/>
      <c r="E337" s="5"/>
      <c r="F337" s="5"/>
      <c r="P337" s="33"/>
      <c r="Q337" s="33"/>
      <c r="R337" s="33"/>
      <c r="S337" s="33"/>
      <c r="T337" s="33"/>
    </row>
    <row r="338" spans="2:20" ht="15.75" customHeight="1">
      <c r="B338" s="5"/>
      <c r="C338" s="5"/>
      <c r="D338" s="5"/>
      <c r="E338" s="5"/>
      <c r="F338" s="5"/>
      <c r="P338" s="33"/>
      <c r="Q338" s="33"/>
      <c r="R338" s="33"/>
      <c r="S338" s="33"/>
      <c r="T338" s="33"/>
    </row>
    <row r="339" spans="2:20" ht="15.75" customHeight="1">
      <c r="B339" s="5"/>
      <c r="C339" s="5"/>
      <c r="D339" s="5"/>
      <c r="E339" s="5"/>
      <c r="F339" s="5"/>
      <c r="P339" s="33"/>
      <c r="Q339" s="33"/>
      <c r="R339" s="33"/>
      <c r="S339" s="33"/>
      <c r="T339" s="33"/>
    </row>
    <row r="340" spans="2:20" ht="15.75" customHeight="1">
      <c r="B340" s="5"/>
      <c r="C340" s="5"/>
      <c r="D340" s="5"/>
      <c r="E340" s="5"/>
      <c r="F340" s="5"/>
      <c r="P340" s="33"/>
      <c r="Q340" s="33"/>
      <c r="R340" s="33"/>
      <c r="S340" s="33"/>
      <c r="T340" s="33"/>
    </row>
    <row r="341" spans="2:20" ht="15.75" customHeight="1">
      <c r="B341" s="5"/>
      <c r="C341" s="5"/>
      <c r="D341" s="5"/>
      <c r="E341" s="5"/>
      <c r="F341" s="5"/>
      <c r="P341" s="33"/>
      <c r="Q341" s="33"/>
      <c r="R341" s="33"/>
      <c r="S341" s="33"/>
      <c r="T341" s="33"/>
    </row>
    <row r="342" spans="2:20" ht="15.75" customHeight="1">
      <c r="B342" s="5"/>
      <c r="C342" s="5"/>
      <c r="D342" s="5"/>
      <c r="E342" s="5"/>
      <c r="F342" s="5"/>
      <c r="P342" s="33"/>
      <c r="Q342" s="33"/>
      <c r="R342" s="33"/>
      <c r="S342" s="33"/>
      <c r="T342" s="33"/>
    </row>
    <row r="343" spans="2:20" ht="15.75" customHeight="1">
      <c r="B343" s="5"/>
      <c r="C343" s="5"/>
      <c r="D343" s="5"/>
      <c r="E343" s="5"/>
      <c r="F343" s="5"/>
      <c r="P343" s="33"/>
      <c r="Q343" s="33"/>
      <c r="R343" s="33"/>
      <c r="S343" s="33"/>
      <c r="T343" s="33"/>
    </row>
    <row r="344" spans="2:20" ht="15.75" customHeight="1">
      <c r="B344" s="5"/>
      <c r="C344" s="5"/>
      <c r="D344" s="5"/>
      <c r="E344" s="5"/>
      <c r="F344" s="5"/>
      <c r="P344" s="33"/>
      <c r="Q344" s="33"/>
      <c r="R344" s="33"/>
      <c r="S344" s="33"/>
      <c r="T344" s="33"/>
    </row>
    <row r="345" spans="2:20" ht="15.75" customHeight="1">
      <c r="B345" s="5"/>
      <c r="C345" s="5"/>
      <c r="D345" s="5"/>
      <c r="E345" s="5"/>
      <c r="F345" s="5"/>
      <c r="P345" s="33"/>
      <c r="Q345" s="33"/>
      <c r="R345" s="33"/>
      <c r="S345" s="33"/>
      <c r="T345" s="33"/>
    </row>
    <row r="346" spans="2:20" ht="15.75" customHeight="1">
      <c r="B346" s="5"/>
      <c r="C346" s="5"/>
      <c r="D346" s="5"/>
      <c r="E346" s="5"/>
      <c r="F346" s="5"/>
      <c r="P346" s="33"/>
      <c r="Q346" s="33"/>
      <c r="R346" s="33"/>
      <c r="S346" s="33"/>
      <c r="T346" s="33"/>
    </row>
    <row r="347" spans="2:20" ht="15.75" customHeight="1">
      <c r="B347" s="5"/>
      <c r="C347" s="5"/>
      <c r="D347" s="5"/>
      <c r="E347" s="5"/>
      <c r="F347" s="5"/>
      <c r="P347" s="33"/>
      <c r="Q347" s="33"/>
      <c r="R347" s="33"/>
      <c r="S347" s="33"/>
      <c r="T347" s="33"/>
    </row>
    <row r="348" spans="2:20" ht="15.75" customHeight="1">
      <c r="B348" s="5"/>
      <c r="C348" s="5"/>
      <c r="D348" s="5"/>
      <c r="E348" s="5"/>
      <c r="F348" s="5"/>
      <c r="P348" s="33"/>
      <c r="Q348" s="33"/>
      <c r="R348" s="33"/>
      <c r="S348" s="33"/>
      <c r="T348" s="33"/>
    </row>
    <row r="349" spans="2:20" ht="15.75" customHeight="1">
      <c r="B349" s="5"/>
      <c r="C349" s="5"/>
      <c r="D349" s="5"/>
      <c r="E349" s="5"/>
      <c r="F349" s="5"/>
      <c r="P349" s="33"/>
      <c r="Q349" s="33"/>
      <c r="R349" s="33"/>
      <c r="S349" s="33"/>
      <c r="T349" s="33"/>
    </row>
    <row r="350" spans="2:20" ht="15.75" customHeight="1">
      <c r="B350" s="5"/>
      <c r="C350" s="5"/>
      <c r="D350" s="5"/>
      <c r="E350" s="5"/>
      <c r="F350" s="5"/>
      <c r="P350" s="33"/>
      <c r="Q350" s="33"/>
      <c r="R350" s="33"/>
      <c r="S350" s="33"/>
      <c r="T350" s="33"/>
    </row>
    <row r="351" spans="2:20" ht="15.75" customHeight="1">
      <c r="B351" s="5"/>
      <c r="C351" s="5"/>
      <c r="D351" s="5"/>
      <c r="E351" s="5"/>
      <c r="F351" s="5"/>
      <c r="P351" s="33"/>
      <c r="Q351" s="33"/>
      <c r="R351" s="33"/>
      <c r="S351" s="33"/>
      <c r="T351" s="33"/>
    </row>
    <row r="352" spans="2:20" ht="15.75" customHeight="1">
      <c r="B352" s="5"/>
      <c r="C352" s="5"/>
      <c r="D352" s="5"/>
      <c r="E352" s="5"/>
      <c r="F352" s="5"/>
      <c r="P352" s="33"/>
      <c r="Q352" s="33"/>
      <c r="R352" s="33"/>
      <c r="S352" s="33"/>
      <c r="T352" s="33"/>
    </row>
    <row r="353" spans="2:20" ht="15.75" customHeight="1">
      <c r="B353" s="5"/>
      <c r="C353" s="5"/>
      <c r="D353" s="5"/>
      <c r="E353" s="5"/>
      <c r="F353" s="5"/>
      <c r="P353" s="33"/>
      <c r="Q353" s="33"/>
      <c r="R353" s="33"/>
      <c r="S353" s="33"/>
      <c r="T353" s="33"/>
    </row>
    <row r="354" spans="2:20" ht="15.75" customHeight="1">
      <c r="B354" s="5"/>
      <c r="C354" s="5"/>
      <c r="D354" s="5"/>
      <c r="E354" s="5"/>
      <c r="F354" s="5"/>
      <c r="P354" s="33"/>
      <c r="Q354" s="33"/>
      <c r="R354" s="33"/>
      <c r="S354" s="33"/>
      <c r="T354" s="33"/>
    </row>
    <row r="355" spans="2:20" ht="15.75" customHeight="1">
      <c r="B355" s="5"/>
      <c r="C355" s="5"/>
      <c r="D355" s="5"/>
      <c r="E355" s="5"/>
      <c r="F355" s="5"/>
      <c r="P355" s="33"/>
      <c r="Q355" s="33"/>
      <c r="R355" s="33"/>
      <c r="S355" s="33"/>
      <c r="T355" s="33"/>
    </row>
    <row r="356" spans="2:20" ht="15.75" customHeight="1">
      <c r="B356" s="5"/>
      <c r="C356" s="5"/>
      <c r="D356" s="5"/>
      <c r="E356" s="5"/>
      <c r="F356" s="5"/>
      <c r="P356" s="33"/>
      <c r="Q356" s="33"/>
      <c r="R356" s="33"/>
      <c r="S356" s="33"/>
      <c r="T356" s="33"/>
    </row>
    <row r="357" spans="2:20" ht="15.75" customHeight="1">
      <c r="B357" s="5"/>
      <c r="C357" s="5"/>
      <c r="D357" s="5"/>
      <c r="E357" s="5"/>
      <c r="F357" s="5"/>
      <c r="P357" s="33"/>
      <c r="Q357" s="33"/>
      <c r="R357" s="33"/>
      <c r="S357" s="33"/>
      <c r="T357" s="33"/>
    </row>
    <row r="358" spans="2:20" ht="15.75" customHeight="1">
      <c r="B358" s="5"/>
      <c r="C358" s="5"/>
      <c r="D358" s="5"/>
      <c r="E358" s="5"/>
      <c r="F358" s="5"/>
      <c r="P358" s="33"/>
      <c r="Q358" s="33"/>
      <c r="R358" s="33"/>
      <c r="S358" s="33"/>
      <c r="T358" s="33"/>
    </row>
    <row r="359" spans="2:20" ht="15.75" customHeight="1">
      <c r="B359" s="5"/>
      <c r="C359" s="5"/>
      <c r="D359" s="5"/>
      <c r="E359" s="5"/>
      <c r="F359" s="5"/>
      <c r="P359" s="33"/>
      <c r="Q359" s="33"/>
      <c r="R359" s="33"/>
      <c r="S359" s="33"/>
      <c r="T359" s="33"/>
    </row>
    <row r="360" spans="2:20" ht="15.75" customHeight="1">
      <c r="B360" s="5"/>
      <c r="C360" s="5"/>
      <c r="D360" s="5"/>
      <c r="E360" s="5"/>
      <c r="F360" s="5"/>
      <c r="P360" s="33"/>
      <c r="Q360" s="33"/>
      <c r="R360" s="33"/>
      <c r="S360" s="33"/>
      <c r="T360" s="33"/>
    </row>
    <row r="361" spans="2:20" ht="15.75" customHeight="1">
      <c r="B361" s="5"/>
      <c r="C361" s="5"/>
      <c r="D361" s="5"/>
      <c r="E361" s="5"/>
      <c r="F361" s="5"/>
      <c r="P361" s="33"/>
      <c r="Q361" s="33"/>
      <c r="R361" s="33"/>
      <c r="S361" s="33"/>
      <c r="T361" s="33"/>
    </row>
    <row r="362" spans="2:20" ht="15.75" customHeight="1">
      <c r="B362" s="5"/>
      <c r="C362" s="5"/>
      <c r="D362" s="5"/>
      <c r="E362" s="5"/>
      <c r="F362" s="5"/>
      <c r="P362" s="33"/>
      <c r="Q362" s="33"/>
      <c r="R362" s="33"/>
      <c r="S362" s="33"/>
      <c r="T362" s="33"/>
    </row>
    <row r="363" spans="2:20" ht="15.75" customHeight="1">
      <c r="B363" s="5"/>
      <c r="C363" s="5"/>
      <c r="D363" s="5"/>
      <c r="E363" s="5"/>
      <c r="F363" s="5"/>
      <c r="P363" s="33"/>
      <c r="Q363" s="33"/>
      <c r="R363" s="33"/>
      <c r="S363" s="33"/>
      <c r="T363" s="33"/>
    </row>
    <row r="364" spans="2:20" ht="15.75" customHeight="1">
      <c r="B364" s="5"/>
      <c r="C364" s="5"/>
      <c r="D364" s="5"/>
      <c r="E364" s="5"/>
      <c r="F364" s="5"/>
      <c r="P364" s="33"/>
      <c r="Q364" s="33"/>
      <c r="R364" s="33"/>
      <c r="S364" s="33"/>
      <c r="T364" s="33"/>
    </row>
    <row r="365" spans="2:20" ht="15.75" customHeight="1">
      <c r="B365" s="5"/>
      <c r="C365" s="5"/>
      <c r="D365" s="5"/>
      <c r="E365" s="5"/>
      <c r="F365" s="5"/>
      <c r="P365" s="33"/>
      <c r="Q365" s="33"/>
      <c r="R365" s="33"/>
      <c r="S365" s="33"/>
      <c r="T365" s="33"/>
    </row>
    <row r="366" spans="2:20" ht="15.75" customHeight="1">
      <c r="B366" s="5"/>
      <c r="C366" s="5"/>
      <c r="D366" s="5"/>
      <c r="E366" s="5"/>
      <c r="F366" s="5"/>
      <c r="P366" s="33"/>
      <c r="Q366" s="33"/>
      <c r="R366" s="33"/>
      <c r="S366" s="33"/>
      <c r="T366" s="33"/>
    </row>
    <row r="367" spans="2:20" ht="15.75" customHeight="1">
      <c r="B367" s="5"/>
      <c r="C367" s="5"/>
      <c r="D367" s="5"/>
      <c r="E367" s="5"/>
      <c r="F367" s="5"/>
      <c r="P367" s="33"/>
      <c r="Q367" s="33"/>
      <c r="R367" s="33"/>
      <c r="S367" s="33"/>
      <c r="T367" s="33"/>
    </row>
    <row r="368" spans="2:20" ht="15.75" customHeight="1">
      <c r="B368" s="5"/>
      <c r="C368" s="5"/>
      <c r="D368" s="5"/>
      <c r="E368" s="5"/>
      <c r="F368" s="5"/>
      <c r="P368" s="33"/>
      <c r="Q368" s="33"/>
      <c r="R368" s="33"/>
      <c r="S368" s="33"/>
      <c r="T368" s="33"/>
    </row>
    <row r="369" spans="2:20" ht="15.75" customHeight="1">
      <c r="B369" s="5"/>
      <c r="C369" s="5"/>
      <c r="D369" s="5"/>
      <c r="E369" s="5"/>
      <c r="F369" s="5"/>
      <c r="P369" s="33"/>
      <c r="Q369" s="33"/>
      <c r="R369" s="33"/>
      <c r="S369" s="33"/>
      <c r="T369" s="33"/>
    </row>
    <row r="370" spans="2:20" ht="15.75" customHeight="1">
      <c r="B370" s="5"/>
      <c r="C370" s="5"/>
      <c r="D370" s="5"/>
      <c r="E370" s="5"/>
      <c r="F370" s="5"/>
      <c r="P370" s="33"/>
      <c r="Q370" s="33"/>
      <c r="R370" s="33"/>
      <c r="S370" s="33"/>
      <c r="T370" s="33"/>
    </row>
    <row r="371" spans="2:20" ht="15.75" customHeight="1">
      <c r="B371" s="5"/>
      <c r="C371" s="5"/>
      <c r="D371" s="5"/>
      <c r="E371" s="5"/>
      <c r="F371" s="5"/>
      <c r="P371" s="33"/>
      <c r="Q371" s="33"/>
      <c r="R371" s="33"/>
      <c r="S371" s="33"/>
      <c r="T371" s="33"/>
    </row>
    <row r="372" spans="2:20" ht="15.75" customHeight="1">
      <c r="B372" s="5"/>
      <c r="C372" s="5"/>
      <c r="D372" s="5"/>
      <c r="E372" s="5"/>
      <c r="F372" s="5"/>
      <c r="P372" s="33"/>
      <c r="Q372" s="33"/>
      <c r="R372" s="33"/>
      <c r="S372" s="33"/>
      <c r="T372" s="33"/>
    </row>
    <row r="373" spans="2:20" ht="15.75" customHeight="1">
      <c r="B373" s="5"/>
      <c r="C373" s="5"/>
      <c r="D373" s="5"/>
      <c r="E373" s="5"/>
      <c r="F373" s="5"/>
      <c r="P373" s="33"/>
      <c r="Q373" s="33"/>
      <c r="R373" s="33"/>
      <c r="S373" s="33"/>
      <c r="T373" s="33"/>
    </row>
    <row r="374" spans="2:20" ht="15.75" customHeight="1">
      <c r="B374" s="5"/>
      <c r="C374" s="5"/>
      <c r="D374" s="5"/>
      <c r="E374" s="5"/>
      <c r="F374" s="5"/>
      <c r="P374" s="33"/>
      <c r="Q374" s="33"/>
      <c r="R374" s="33"/>
      <c r="S374" s="33"/>
      <c r="T374" s="33"/>
    </row>
    <row r="375" spans="2:20" ht="15.75" customHeight="1">
      <c r="B375" s="5"/>
      <c r="C375" s="5"/>
      <c r="D375" s="5"/>
      <c r="E375" s="5"/>
      <c r="F375" s="5"/>
      <c r="P375" s="33"/>
      <c r="Q375" s="33"/>
      <c r="R375" s="33"/>
      <c r="S375" s="33"/>
      <c r="T375" s="33"/>
    </row>
    <row r="376" spans="2:20" ht="15.75" customHeight="1">
      <c r="B376" s="5"/>
      <c r="C376" s="5"/>
      <c r="D376" s="5"/>
      <c r="E376" s="5"/>
      <c r="F376" s="5"/>
      <c r="P376" s="33"/>
      <c r="Q376" s="33"/>
      <c r="R376" s="33"/>
      <c r="S376" s="33"/>
      <c r="T376" s="33"/>
    </row>
    <row r="377" spans="2:20" ht="15.75" customHeight="1">
      <c r="B377" s="5"/>
      <c r="C377" s="5"/>
      <c r="D377" s="5"/>
      <c r="E377" s="5"/>
      <c r="F377" s="5"/>
      <c r="P377" s="33"/>
      <c r="Q377" s="33"/>
      <c r="R377" s="33"/>
      <c r="S377" s="33"/>
      <c r="T377" s="33"/>
    </row>
    <row r="378" spans="2:20" ht="15.75" customHeight="1">
      <c r="B378" s="5"/>
      <c r="C378" s="5"/>
      <c r="D378" s="5"/>
      <c r="E378" s="5"/>
      <c r="F378" s="5"/>
      <c r="P378" s="33"/>
      <c r="Q378" s="33"/>
      <c r="R378" s="33"/>
      <c r="S378" s="33"/>
      <c r="T378" s="33"/>
    </row>
    <row r="379" spans="2:20" ht="15.75" customHeight="1">
      <c r="B379" s="5"/>
      <c r="C379" s="5"/>
      <c r="D379" s="5"/>
      <c r="E379" s="5"/>
      <c r="F379" s="5"/>
      <c r="P379" s="33"/>
      <c r="Q379" s="33"/>
      <c r="R379" s="33"/>
      <c r="S379" s="33"/>
      <c r="T379" s="33"/>
    </row>
    <row r="380" spans="2:20" ht="15.75" customHeight="1">
      <c r="B380" s="5"/>
      <c r="C380" s="5"/>
      <c r="D380" s="5"/>
      <c r="E380" s="5"/>
      <c r="F380" s="5"/>
      <c r="P380" s="33"/>
      <c r="Q380" s="33"/>
      <c r="R380" s="33"/>
      <c r="S380" s="33"/>
      <c r="T380" s="33"/>
    </row>
    <row r="381" spans="2:20" ht="15.75" customHeight="1">
      <c r="B381" s="5"/>
      <c r="C381" s="5"/>
      <c r="D381" s="5"/>
      <c r="E381" s="5"/>
      <c r="F381" s="5"/>
      <c r="P381" s="33"/>
      <c r="Q381" s="33"/>
      <c r="R381" s="33"/>
      <c r="S381" s="33"/>
      <c r="T381" s="33"/>
    </row>
    <row r="382" spans="2:20" ht="15.75" customHeight="1">
      <c r="B382" s="5"/>
      <c r="C382" s="5"/>
      <c r="D382" s="5"/>
      <c r="E382" s="5"/>
      <c r="F382" s="5"/>
      <c r="P382" s="33"/>
      <c r="Q382" s="33"/>
      <c r="R382" s="33"/>
      <c r="S382" s="33"/>
      <c r="T382" s="33"/>
    </row>
    <row r="383" spans="2:20" ht="15.75" customHeight="1">
      <c r="B383" s="5"/>
      <c r="C383" s="5"/>
      <c r="D383" s="5"/>
      <c r="E383" s="5"/>
      <c r="F383" s="5"/>
      <c r="P383" s="33"/>
      <c r="Q383" s="33"/>
      <c r="R383" s="33"/>
      <c r="S383" s="33"/>
      <c r="T383" s="33"/>
    </row>
    <row r="384" spans="2:20" ht="15.75" customHeight="1">
      <c r="B384" s="5"/>
      <c r="C384" s="5"/>
      <c r="D384" s="5"/>
      <c r="E384" s="5"/>
      <c r="F384" s="5"/>
      <c r="P384" s="33"/>
      <c r="Q384" s="33"/>
      <c r="R384" s="33"/>
      <c r="S384" s="33"/>
      <c r="T384" s="33"/>
    </row>
    <row r="385" spans="2:20" ht="15.75" customHeight="1">
      <c r="B385" s="5"/>
      <c r="C385" s="5"/>
      <c r="D385" s="5"/>
      <c r="E385" s="5"/>
      <c r="F385" s="5"/>
      <c r="P385" s="33"/>
      <c r="Q385" s="33"/>
      <c r="R385" s="33"/>
      <c r="S385" s="33"/>
      <c r="T385" s="33"/>
    </row>
    <row r="386" spans="2:20" ht="15.75" customHeight="1">
      <c r="B386" s="5"/>
      <c r="C386" s="5"/>
      <c r="D386" s="5"/>
      <c r="E386" s="5"/>
      <c r="F386" s="5"/>
      <c r="P386" s="33"/>
      <c r="Q386" s="33"/>
      <c r="R386" s="33"/>
      <c r="S386" s="33"/>
      <c r="T386" s="33"/>
    </row>
    <row r="387" spans="2:20" ht="15.75" customHeight="1">
      <c r="B387" s="5"/>
      <c r="C387" s="5"/>
      <c r="D387" s="5"/>
      <c r="E387" s="5"/>
      <c r="F387" s="5"/>
      <c r="P387" s="33"/>
      <c r="Q387" s="33"/>
      <c r="R387" s="33"/>
      <c r="S387" s="33"/>
      <c r="T387" s="33"/>
    </row>
    <row r="388" spans="2:20" ht="15.75" customHeight="1">
      <c r="B388" s="5"/>
      <c r="C388" s="5"/>
      <c r="D388" s="5"/>
      <c r="E388" s="5"/>
      <c r="F388" s="5"/>
      <c r="P388" s="33"/>
      <c r="Q388" s="33"/>
      <c r="R388" s="33"/>
      <c r="S388" s="33"/>
      <c r="T388" s="33"/>
    </row>
    <row r="389" spans="2:20" ht="15.75" customHeight="1">
      <c r="B389" s="5"/>
      <c r="C389" s="5"/>
      <c r="D389" s="5"/>
      <c r="E389" s="5"/>
      <c r="F389" s="5"/>
      <c r="P389" s="33"/>
      <c r="Q389" s="33"/>
      <c r="R389" s="33"/>
      <c r="S389" s="33"/>
      <c r="T389" s="33"/>
    </row>
    <row r="390" spans="2:20" ht="15.75" customHeight="1">
      <c r="B390" s="5"/>
      <c r="C390" s="5"/>
      <c r="D390" s="5"/>
      <c r="E390" s="5"/>
      <c r="F390" s="5"/>
      <c r="P390" s="33"/>
      <c r="Q390" s="33"/>
      <c r="R390" s="33"/>
      <c r="S390" s="33"/>
      <c r="T390" s="33"/>
    </row>
    <row r="391" spans="2:20" ht="15.75" customHeight="1">
      <c r="B391" s="5"/>
      <c r="C391" s="5"/>
      <c r="D391" s="5"/>
      <c r="E391" s="5"/>
      <c r="F391" s="5"/>
      <c r="P391" s="33"/>
      <c r="Q391" s="33"/>
      <c r="R391" s="33"/>
      <c r="S391" s="33"/>
      <c r="T391" s="33"/>
    </row>
    <row r="392" spans="2:20" ht="15.75" customHeight="1">
      <c r="B392" s="5"/>
      <c r="C392" s="5"/>
      <c r="D392" s="5"/>
      <c r="E392" s="5"/>
      <c r="F392" s="5"/>
      <c r="P392" s="33"/>
      <c r="Q392" s="33"/>
      <c r="R392" s="33"/>
      <c r="S392" s="33"/>
      <c r="T392" s="33"/>
    </row>
    <row r="393" spans="2:20" ht="15.75" customHeight="1">
      <c r="B393" s="5"/>
      <c r="C393" s="5"/>
      <c r="D393" s="5"/>
      <c r="E393" s="5"/>
      <c r="F393" s="5"/>
      <c r="P393" s="33"/>
      <c r="Q393" s="33"/>
      <c r="R393" s="33"/>
      <c r="S393" s="33"/>
      <c r="T393" s="33"/>
    </row>
    <row r="394" spans="2:20" ht="15.75" customHeight="1">
      <c r="B394" s="5"/>
      <c r="C394" s="5"/>
      <c r="D394" s="5"/>
      <c r="E394" s="5"/>
      <c r="F394" s="5"/>
      <c r="P394" s="33"/>
      <c r="Q394" s="33"/>
      <c r="R394" s="33"/>
      <c r="S394" s="33"/>
      <c r="T394" s="33"/>
    </row>
    <row r="395" spans="2:20" ht="15.75" customHeight="1">
      <c r="B395" s="5"/>
      <c r="C395" s="5"/>
      <c r="D395" s="5"/>
      <c r="E395" s="5"/>
      <c r="F395" s="5"/>
      <c r="P395" s="33"/>
      <c r="Q395" s="33"/>
      <c r="R395" s="33"/>
      <c r="S395" s="33"/>
      <c r="T395" s="33"/>
    </row>
    <row r="396" spans="2:20" ht="15.75" customHeight="1">
      <c r="B396" s="5"/>
      <c r="C396" s="5"/>
      <c r="D396" s="5"/>
      <c r="E396" s="5"/>
      <c r="F396" s="5"/>
      <c r="P396" s="33"/>
      <c r="Q396" s="33"/>
      <c r="R396" s="33"/>
      <c r="S396" s="33"/>
      <c r="T396" s="33"/>
    </row>
    <row r="397" spans="2:20" ht="15.75" customHeight="1">
      <c r="B397" s="5"/>
      <c r="C397" s="5"/>
      <c r="D397" s="5"/>
      <c r="E397" s="5"/>
      <c r="F397" s="5"/>
      <c r="P397" s="33"/>
      <c r="Q397" s="33"/>
      <c r="R397" s="33"/>
      <c r="S397" s="33"/>
      <c r="T397" s="33"/>
    </row>
    <row r="398" spans="2:20" ht="15.75" customHeight="1">
      <c r="B398" s="5"/>
      <c r="C398" s="5"/>
      <c r="D398" s="5"/>
      <c r="E398" s="5"/>
      <c r="F398" s="5"/>
      <c r="P398" s="33"/>
      <c r="Q398" s="33"/>
      <c r="R398" s="33"/>
      <c r="S398" s="33"/>
      <c r="T398" s="33"/>
    </row>
    <row r="399" spans="2:20" ht="15.75" customHeight="1">
      <c r="B399" s="5"/>
      <c r="C399" s="5"/>
      <c r="D399" s="5"/>
      <c r="E399" s="5"/>
      <c r="F399" s="5"/>
      <c r="P399" s="33"/>
      <c r="Q399" s="33"/>
      <c r="R399" s="33"/>
      <c r="S399" s="33"/>
      <c r="T399" s="33"/>
    </row>
    <row r="400" spans="2:20" ht="15.75" customHeight="1">
      <c r="B400" s="5"/>
      <c r="C400" s="5"/>
      <c r="D400" s="5"/>
      <c r="E400" s="5"/>
      <c r="F400" s="5"/>
      <c r="P400" s="33"/>
      <c r="Q400" s="33"/>
      <c r="R400" s="33"/>
      <c r="S400" s="33"/>
      <c r="T400" s="33"/>
    </row>
    <row r="401" spans="2:20" ht="15.75" customHeight="1">
      <c r="B401" s="5"/>
      <c r="C401" s="5"/>
      <c r="D401" s="5"/>
      <c r="E401" s="5"/>
      <c r="F401" s="5"/>
      <c r="P401" s="33"/>
      <c r="Q401" s="33"/>
      <c r="R401" s="33"/>
      <c r="S401" s="33"/>
      <c r="T401" s="33"/>
    </row>
    <row r="402" spans="2:20" ht="15.75" customHeight="1">
      <c r="B402" s="5"/>
      <c r="C402" s="5"/>
      <c r="D402" s="5"/>
      <c r="E402" s="5"/>
      <c r="F402" s="5"/>
      <c r="P402" s="33"/>
      <c r="Q402" s="33"/>
      <c r="R402" s="33"/>
      <c r="S402" s="33"/>
      <c r="T402" s="33"/>
    </row>
    <row r="403" spans="2:20" ht="15.75" customHeight="1">
      <c r="B403" s="5"/>
      <c r="C403" s="5"/>
      <c r="D403" s="5"/>
      <c r="E403" s="5"/>
      <c r="F403" s="5"/>
      <c r="P403" s="33"/>
      <c r="Q403" s="33"/>
      <c r="R403" s="33"/>
      <c r="S403" s="33"/>
      <c r="T403" s="33"/>
    </row>
    <row r="404" spans="2:20" ht="15.75" customHeight="1">
      <c r="B404" s="5"/>
      <c r="C404" s="5"/>
      <c r="D404" s="5"/>
      <c r="E404" s="5"/>
      <c r="F404" s="5"/>
      <c r="P404" s="33"/>
      <c r="Q404" s="33"/>
      <c r="R404" s="33"/>
      <c r="S404" s="33"/>
      <c r="T404" s="33"/>
    </row>
    <row r="405" spans="2:20" ht="15.75" customHeight="1">
      <c r="B405" s="5"/>
      <c r="C405" s="5"/>
      <c r="D405" s="5"/>
      <c r="E405" s="5"/>
      <c r="F405" s="5"/>
      <c r="P405" s="33"/>
      <c r="Q405" s="33"/>
      <c r="R405" s="33"/>
      <c r="S405" s="33"/>
      <c r="T405" s="33"/>
    </row>
    <row r="406" spans="2:20" ht="15.75" customHeight="1">
      <c r="B406" s="5"/>
      <c r="C406" s="5"/>
      <c r="D406" s="5"/>
      <c r="E406" s="5"/>
      <c r="F406" s="5"/>
      <c r="P406" s="33"/>
      <c r="Q406" s="33"/>
      <c r="R406" s="33"/>
      <c r="S406" s="33"/>
      <c r="T406" s="33"/>
    </row>
    <row r="407" spans="2:20" ht="15.75" customHeight="1">
      <c r="B407" s="5"/>
      <c r="C407" s="5"/>
      <c r="D407" s="5"/>
      <c r="E407" s="5"/>
      <c r="F407" s="5"/>
      <c r="P407" s="33"/>
      <c r="Q407" s="33"/>
      <c r="R407" s="33"/>
      <c r="S407" s="33"/>
      <c r="T407" s="33"/>
    </row>
    <row r="408" spans="2:20" ht="15.75" customHeight="1">
      <c r="B408" s="5"/>
      <c r="C408" s="5"/>
      <c r="D408" s="5"/>
      <c r="E408" s="5"/>
      <c r="F408" s="5"/>
      <c r="P408" s="33"/>
      <c r="Q408" s="33"/>
      <c r="R408" s="33"/>
      <c r="S408" s="33"/>
      <c r="T408" s="33"/>
    </row>
    <row r="409" spans="2:20" ht="15.75" customHeight="1">
      <c r="B409" s="5"/>
      <c r="C409" s="5"/>
      <c r="D409" s="5"/>
      <c r="E409" s="5"/>
      <c r="F409" s="5"/>
      <c r="P409" s="33"/>
      <c r="Q409" s="33"/>
      <c r="R409" s="33"/>
      <c r="S409" s="33"/>
      <c r="T409" s="33"/>
    </row>
    <row r="410" spans="2:20" ht="15.75" customHeight="1">
      <c r="B410" s="5"/>
      <c r="C410" s="5"/>
      <c r="D410" s="5"/>
      <c r="E410" s="5"/>
      <c r="F410" s="5"/>
      <c r="P410" s="33"/>
      <c r="Q410" s="33"/>
      <c r="R410" s="33"/>
      <c r="S410" s="33"/>
      <c r="T410" s="33"/>
    </row>
    <row r="411" spans="2:20" ht="15.75" customHeight="1">
      <c r="B411" s="5"/>
      <c r="C411" s="5"/>
      <c r="D411" s="5"/>
      <c r="E411" s="5"/>
      <c r="F411" s="5"/>
      <c r="P411" s="33"/>
      <c r="Q411" s="33"/>
      <c r="R411" s="33"/>
      <c r="S411" s="33"/>
      <c r="T411" s="33"/>
    </row>
    <row r="412" spans="2:20" ht="15.75" customHeight="1">
      <c r="B412" s="5"/>
      <c r="C412" s="5"/>
      <c r="D412" s="5"/>
      <c r="E412" s="5"/>
      <c r="F412" s="5"/>
      <c r="P412" s="33"/>
      <c r="Q412" s="33"/>
      <c r="R412" s="33"/>
      <c r="S412" s="33"/>
      <c r="T412" s="33"/>
    </row>
    <row r="413" spans="2:20" ht="15.75" customHeight="1">
      <c r="B413" s="5"/>
      <c r="C413" s="5"/>
      <c r="D413" s="5"/>
      <c r="E413" s="5"/>
      <c r="F413" s="5"/>
      <c r="P413" s="33"/>
      <c r="Q413" s="33"/>
      <c r="R413" s="33"/>
      <c r="S413" s="33"/>
      <c r="T413" s="33"/>
    </row>
    <row r="414" spans="2:20" ht="15.75" customHeight="1">
      <c r="B414" s="5"/>
      <c r="C414" s="5"/>
      <c r="D414" s="5"/>
      <c r="E414" s="5"/>
      <c r="F414" s="5"/>
      <c r="P414" s="33"/>
      <c r="Q414" s="33"/>
      <c r="R414" s="33"/>
      <c r="S414" s="33"/>
      <c r="T414" s="33"/>
    </row>
    <row r="415" spans="2:20" ht="15.75" customHeight="1">
      <c r="B415" s="5"/>
      <c r="C415" s="5"/>
      <c r="D415" s="5"/>
      <c r="E415" s="5"/>
      <c r="F415" s="5"/>
      <c r="P415" s="33"/>
      <c r="Q415" s="33"/>
      <c r="R415" s="33"/>
      <c r="S415" s="33"/>
      <c r="T415" s="33"/>
    </row>
    <row r="416" spans="2:20" ht="15.75" customHeight="1">
      <c r="B416" s="5"/>
      <c r="C416" s="5"/>
      <c r="D416" s="5"/>
      <c r="E416" s="5"/>
      <c r="F416" s="5"/>
      <c r="P416" s="33"/>
      <c r="Q416" s="33"/>
      <c r="R416" s="33"/>
      <c r="S416" s="33"/>
      <c r="T416" s="33"/>
    </row>
    <row r="417" spans="2:20" ht="15.75" customHeight="1">
      <c r="B417" s="5"/>
      <c r="C417" s="5"/>
      <c r="D417" s="5"/>
      <c r="E417" s="5"/>
      <c r="F417" s="5"/>
      <c r="P417" s="33"/>
      <c r="Q417" s="33"/>
      <c r="R417" s="33"/>
      <c r="S417" s="33"/>
      <c r="T417" s="33"/>
    </row>
    <row r="418" spans="2:20" ht="15.75" customHeight="1">
      <c r="B418" s="5"/>
      <c r="C418" s="5"/>
      <c r="D418" s="5"/>
      <c r="E418" s="5"/>
      <c r="F418" s="5"/>
      <c r="P418" s="33"/>
      <c r="Q418" s="33"/>
      <c r="R418" s="33"/>
      <c r="S418" s="33"/>
      <c r="T418" s="33"/>
    </row>
    <row r="419" spans="2:20" ht="15.75" customHeight="1">
      <c r="B419" s="5"/>
      <c r="C419" s="5"/>
      <c r="D419" s="5"/>
      <c r="E419" s="5"/>
      <c r="F419" s="5"/>
      <c r="P419" s="33"/>
      <c r="Q419" s="33"/>
      <c r="R419" s="33"/>
      <c r="S419" s="33"/>
      <c r="T419" s="33"/>
    </row>
    <row r="420" spans="2:20" ht="15.75" customHeight="1">
      <c r="B420" s="5"/>
      <c r="C420" s="5"/>
      <c r="D420" s="5"/>
      <c r="E420" s="5"/>
      <c r="F420" s="5"/>
      <c r="P420" s="33"/>
      <c r="Q420" s="33"/>
      <c r="R420" s="33"/>
      <c r="S420" s="33"/>
      <c r="T420" s="33"/>
    </row>
    <row r="421" spans="2:20" ht="15.75" customHeight="1">
      <c r="B421" s="5"/>
      <c r="C421" s="5"/>
      <c r="D421" s="5"/>
      <c r="E421" s="5"/>
      <c r="F421" s="5"/>
      <c r="P421" s="33"/>
      <c r="Q421" s="33"/>
      <c r="R421" s="33"/>
      <c r="S421" s="33"/>
      <c r="T421" s="33"/>
    </row>
    <row r="422" spans="2:20" ht="15.75" customHeight="1">
      <c r="B422" s="5"/>
      <c r="C422" s="5"/>
      <c r="D422" s="5"/>
      <c r="E422" s="5"/>
      <c r="F422" s="5"/>
      <c r="P422" s="33"/>
      <c r="Q422" s="33"/>
      <c r="R422" s="33"/>
      <c r="S422" s="33"/>
      <c r="T422" s="33"/>
    </row>
    <row r="423" spans="2:20" ht="15.75" customHeight="1">
      <c r="B423" s="5"/>
      <c r="C423" s="5"/>
      <c r="D423" s="5"/>
      <c r="E423" s="5"/>
      <c r="F423" s="5"/>
      <c r="P423" s="33"/>
      <c r="Q423" s="33"/>
      <c r="R423" s="33"/>
      <c r="S423" s="33"/>
      <c r="T423" s="33"/>
    </row>
    <row r="424" spans="2:20" ht="15.75" customHeight="1">
      <c r="B424" s="5"/>
      <c r="C424" s="5"/>
      <c r="D424" s="5"/>
      <c r="E424" s="5"/>
      <c r="F424" s="5"/>
      <c r="P424" s="33"/>
      <c r="Q424" s="33"/>
      <c r="R424" s="33"/>
      <c r="S424" s="33"/>
      <c r="T424" s="33"/>
    </row>
    <row r="425" spans="2:20" ht="15.75" customHeight="1">
      <c r="B425" s="5"/>
      <c r="C425" s="5"/>
      <c r="D425" s="5"/>
      <c r="E425" s="5"/>
      <c r="F425" s="5"/>
      <c r="P425" s="33"/>
      <c r="Q425" s="33"/>
      <c r="R425" s="33"/>
      <c r="S425" s="33"/>
      <c r="T425" s="33"/>
    </row>
    <row r="426" spans="2:20" ht="15.75" customHeight="1">
      <c r="B426" s="5"/>
      <c r="C426" s="5"/>
      <c r="D426" s="5"/>
      <c r="E426" s="5"/>
      <c r="F426" s="5"/>
      <c r="P426" s="33"/>
      <c r="Q426" s="33"/>
      <c r="R426" s="33"/>
      <c r="S426" s="33"/>
      <c r="T426" s="33"/>
    </row>
    <row r="427" spans="2:20" ht="15.75" customHeight="1">
      <c r="B427" s="5"/>
      <c r="C427" s="5"/>
      <c r="D427" s="5"/>
      <c r="E427" s="5"/>
      <c r="F427" s="5"/>
      <c r="P427" s="33"/>
      <c r="Q427" s="33"/>
      <c r="R427" s="33"/>
      <c r="S427" s="33"/>
      <c r="T427" s="33"/>
    </row>
    <row r="428" spans="2:20" ht="15.75" customHeight="1">
      <c r="B428" s="5"/>
      <c r="C428" s="5"/>
      <c r="D428" s="5"/>
      <c r="E428" s="5"/>
      <c r="F428" s="5"/>
      <c r="P428" s="33"/>
      <c r="Q428" s="33"/>
      <c r="R428" s="33"/>
      <c r="S428" s="33"/>
      <c r="T428" s="33"/>
    </row>
    <row r="429" spans="2:20" ht="15.75" customHeight="1">
      <c r="B429" s="5"/>
      <c r="C429" s="5"/>
      <c r="D429" s="5"/>
      <c r="E429" s="5"/>
      <c r="F429" s="5"/>
      <c r="P429" s="33"/>
      <c r="Q429" s="33"/>
      <c r="R429" s="33"/>
      <c r="S429" s="33"/>
      <c r="T429" s="33"/>
    </row>
    <row r="430" spans="2:20" ht="15.75" customHeight="1">
      <c r="B430" s="5"/>
      <c r="C430" s="5"/>
      <c r="D430" s="5"/>
      <c r="E430" s="5"/>
      <c r="F430" s="5"/>
      <c r="P430" s="33"/>
      <c r="Q430" s="33"/>
      <c r="R430" s="33"/>
      <c r="S430" s="33"/>
      <c r="T430" s="33"/>
    </row>
    <row r="431" spans="2:20" ht="15.75" customHeight="1">
      <c r="B431" s="5"/>
      <c r="C431" s="5"/>
      <c r="D431" s="5"/>
      <c r="E431" s="5"/>
      <c r="F431" s="5"/>
      <c r="P431" s="33"/>
      <c r="Q431" s="33"/>
      <c r="R431" s="33"/>
      <c r="S431" s="33"/>
      <c r="T431" s="33"/>
    </row>
    <row r="432" spans="2:20" ht="15.75" customHeight="1">
      <c r="B432" s="5"/>
      <c r="C432" s="5"/>
      <c r="D432" s="5"/>
      <c r="E432" s="5"/>
      <c r="F432" s="5"/>
      <c r="P432" s="33"/>
      <c r="Q432" s="33"/>
      <c r="R432" s="33"/>
      <c r="S432" s="33"/>
      <c r="T432" s="33"/>
    </row>
    <row r="433" spans="2:20" ht="15.75" customHeight="1">
      <c r="B433" s="5"/>
      <c r="C433" s="5"/>
      <c r="D433" s="5"/>
      <c r="E433" s="5"/>
      <c r="F433" s="5"/>
      <c r="P433" s="33"/>
      <c r="Q433" s="33"/>
      <c r="R433" s="33"/>
      <c r="S433" s="33"/>
      <c r="T433" s="33"/>
    </row>
    <row r="434" spans="2:20" ht="15.75" customHeight="1">
      <c r="B434" s="5"/>
      <c r="C434" s="5"/>
      <c r="D434" s="5"/>
      <c r="E434" s="5"/>
      <c r="F434" s="5"/>
      <c r="P434" s="33"/>
      <c r="Q434" s="33"/>
      <c r="R434" s="33"/>
      <c r="S434" s="33"/>
      <c r="T434" s="33"/>
    </row>
    <row r="435" spans="2:20" ht="15.75" customHeight="1">
      <c r="B435" s="5"/>
      <c r="C435" s="5"/>
      <c r="D435" s="5"/>
      <c r="E435" s="5"/>
      <c r="F435" s="5"/>
      <c r="P435" s="33"/>
      <c r="Q435" s="33"/>
      <c r="R435" s="33"/>
      <c r="S435" s="33"/>
      <c r="T435" s="33"/>
    </row>
    <row r="436" spans="2:20" ht="15.75" customHeight="1">
      <c r="B436" s="5"/>
      <c r="C436" s="5"/>
      <c r="D436" s="5"/>
      <c r="E436" s="5"/>
      <c r="F436" s="5"/>
      <c r="P436" s="33"/>
      <c r="Q436" s="33"/>
      <c r="R436" s="33"/>
      <c r="S436" s="33"/>
      <c r="T436" s="33"/>
    </row>
    <row r="437" spans="2:20" ht="15.75" customHeight="1">
      <c r="B437" s="5"/>
      <c r="C437" s="5"/>
      <c r="D437" s="5"/>
      <c r="E437" s="5"/>
      <c r="F437" s="5"/>
      <c r="P437" s="33"/>
      <c r="Q437" s="33"/>
      <c r="R437" s="33"/>
      <c r="S437" s="33"/>
      <c r="T437" s="33"/>
    </row>
    <row r="438" spans="2:20" ht="15.75" customHeight="1">
      <c r="B438" s="5"/>
      <c r="C438" s="5"/>
      <c r="D438" s="5"/>
      <c r="E438" s="5"/>
      <c r="F438" s="5"/>
      <c r="P438" s="33"/>
      <c r="Q438" s="33"/>
      <c r="R438" s="33"/>
      <c r="S438" s="33"/>
      <c r="T438" s="33"/>
    </row>
    <row r="439" spans="2:20" ht="15.75" customHeight="1">
      <c r="B439" s="5"/>
      <c r="C439" s="5"/>
      <c r="D439" s="5"/>
      <c r="E439" s="5"/>
      <c r="F439" s="5"/>
      <c r="P439" s="33"/>
      <c r="Q439" s="33"/>
      <c r="R439" s="33"/>
      <c r="S439" s="33"/>
      <c r="T439" s="33"/>
    </row>
    <row r="440" spans="2:20" ht="15.75" customHeight="1">
      <c r="B440" s="5"/>
      <c r="C440" s="5"/>
      <c r="D440" s="5"/>
      <c r="E440" s="5"/>
      <c r="F440" s="5"/>
      <c r="P440" s="33"/>
      <c r="Q440" s="33"/>
      <c r="R440" s="33"/>
      <c r="S440" s="33"/>
      <c r="T440" s="33"/>
    </row>
    <row r="441" spans="2:20" ht="15.75" customHeight="1">
      <c r="B441" s="5"/>
      <c r="C441" s="5"/>
      <c r="D441" s="5"/>
      <c r="E441" s="5"/>
      <c r="F441" s="5"/>
      <c r="P441" s="33"/>
      <c r="Q441" s="33"/>
      <c r="R441" s="33"/>
      <c r="S441" s="33"/>
      <c r="T441" s="33"/>
    </row>
    <row r="442" spans="2:20" ht="15.75" customHeight="1">
      <c r="B442" s="5"/>
      <c r="C442" s="5"/>
      <c r="D442" s="5"/>
      <c r="E442" s="5"/>
      <c r="F442" s="5"/>
      <c r="P442" s="33"/>
      <c r="Q442" s="33"/>
      <c r="R442" s="33"/>
      <c r="S442" s="33"/>
      <c r="T442" s="33"/>
    </row>
    <row r="443" spans="2:20" ht="15.75" customHeight="1">
      <c r="B443" s="5"/>
      <c r="C443" s="5"/>
      <c r="D443" s="5"/>
      <c r="E443" s="5"/>
      <c r="F443" s="5"/>
      <c r="P443" s="33"/>
      <c r="Q443" s="33"/>
      <c r="R443" s="33"/>
      <c r="S443" s="33"/>
      <c r="T443" s="33"/>
    </row>
    <row r="444" spans="2:20" ht="15.75" customHeight="1">
      <c r="B444" s="5"/>
      <c r="C444" s="5"/>
      <c r="D444" s="5"/>
      <c r="E444" s="5"/>
      <c r="F444" s="5"/>
      <c r="P444" s="33"/>
      <c r="Q444" s="33"/>
      <c r="R444" s="33"/>
      <c r="S444" s="33"/>
      <c r="T444" s="33"/>
    </row>
    <row r="445" spans="2:20" ht="15.75" customHeight="1">
      <c r="B445" s="5"/>
      <c r="C445" s="5"/>
      <c r="D445" s="5"/>
      <c r="E445" s="5"/>
      <c r="F445" s="5"/>
      <c r="P445" s="33"/>
      <c r="Q445" s="33"/>
      <c r="R445" s="33"/>
      <c r="S445" s="33"/>
      <c r="T445" s="33"/>
    </row>
    <row r="446" spans="2:20" ht="15.75" customHeight="1">
      <c r="B446" s="5"/>
      <c r="C446" s="5"/>
      <c r="D446" s="5"/>
      <c r="E446" s="5"/>
      <c r="F446" s="5"/>
      <c r="P446" s="33"/>
      <c r="Q446" s="33"/>
      <c r="R446" s="33"/>
      <c r="S446" s="33"/>
      <c r="T446" s="33"/>
    </row>
    <row r="447" spans="2:20" ht="15.75" customHeight="1">
      <c r="B447" s="5"/>
      <c r="C447" s="5"/>
      <c r="D447" s="5"/>
      <c r="E447" s="5"/>
      <c r="F447" s="5"/>
      <c r="P447" s="33"/>
      <c r="Q447" s="33"/>
      <c r="R447" s="33"/>
      <c r="S447" s="33"/>
      <c r="T447" s="33"/>
    </row>
    <row r="448" spans="2:20" ht="15.75" customHeight="1">
      <c r="B448" s="5"/>
      <c r="C448" s="5"/>
      <c r="D448" s="5"/>
      <c r="E448" s="5"/>
      <c r="F448" s="5"/>
      <c r="P448" s="33"/>
      <c r="Q448" s="33"/>
      <c r="R448" s="33"/>
      <c r="S448" s="33"/>
      <c r="T448" s="33"/>
    </row>
    <row r="449" spans="2:20" ht="15.75" customHeight="1">
      <c r="B449" s="5"/>
      <c r="C449" s="5"/>
      <c r="D449" s="5"/>
      <c r="E449" s="5"/>
      <c r="F449" s="5"/>
      <c r="P449" s="33"/>
      <c r="Q449" s="33"/>
      <c r="R449" s="33"/>
      <c r="S449" s="33"/>
      <c r="T449" s="33"/>
    </row>
    <row r="450" spans="2:20" ht="15.75" customHeight="1">
      <c r="B450" s="5"/>
      <c r="C450" s="5"/>
      <c r="D450" s="5"/>
      <c r="E450" s="5"/>
      <c r="F450" s="5"/>
      <c r="P450" s="33"/>
      <c r="Q450" s="33"/>
      <c r="R450" s="33"/>
      <c r="S450" s="33"/>
      <c r="T450" s="33"/>
    </row>
    <row r="451" spans="2:20" ht="15.75" customHeight="1">
      <c r="B451" s="5"/>
      <c r="C451" s="5"/>
      <c r="D451" s="5"/>
      <c r="E451" s="5"/>
      <c r="F451" s="5"/>
      <c r="P451" s="33"/>
      <c r="Q451" s="33"/>
      <c r="R451" s="33"/>
      <c r="S451" s="33"/>
      <c r="T451" s="33"/>
    </row>
    <row r="452" spans="2:20" ht="15.75" customHeight="1">
      <c r="B452" s="5"/>
      <c r="C452" s="5"/>
      <c r="D452" s="5"/>
      <c r="E452" s="5"/>
      <c r="F452" s="5"/>
      <c r="P452" s="33"/>
      <c r="Q452" s="33"/>
      <c r="R452" s="33"/>
      <c r="S452" s="33"/>
      <c r="T452" s="33"/>
    </row>
    <row r="453" spans="2:20" ht="15.75" customHeight="1">
      <c r="B453" s="5"/>
      <c r="C453" s="5"/>
      <c r="D453" s="5"/>
      <c r="E453" s="5"/>
      <c r="F453" s="5"/>
      <c r="P453" s="33"/>
      <c r="Q453" s="33"/>
      <c r="R453" s="33"/>
      <c r="S453" s="33"/>
      <c r="T453" s="33"/>
    </row>
    <row r="454" spans="2:20" ht="15.75" customHeight="1">
      <c r="B454" s="5"/>
      <c r="C454" s="5"/>
      <c r="D454" s="5"/>
      <c r="E454" s="5"/>
      <c r="F454" s="5"/>
      <c r="P454" s="33"/>
      <c r="Q454" s="33"/>
      <c r="R454" s="33"/>
      <c r="S454" s="33"/>
      <c r="T454" s="33"/>
    </row>
    <row r="455" spans="2:20" ht="15.75" customHeight="1">
      <c r="B455" s="5"/>
      <c r="C455" s="5"/>
      <c r="D455" s="5"/>
      <c r="E455" s="5"/>
      <c r="F455" s="5"/>
      <c r="P455" s="33"/>
      <c r="Q455" s="33"/>
      <c r="R455" s="33"/>
      <c r="S455" s="33"/>
      <c r="T455" s="33"/>
    </row>
    <row r="456" spans="2:20" ht="15.75" customHeight="1">
      <c r="B456" s="5"/>
      <c r="C456" s="5"/>
      <c r="D456" s="5"/>
      <c r="E456" s="5"/>
      <c r="F456" s="5"/>
      <c r="P456" s="33"/>
      <c r="Q456" s="33"/>
      <c r="R456" s="33"/>
      <c r="S456" s="33"/>
      <c r="T456" s="33"/>
    </row>
    <row r="457" spans="2:20" ht="15.75" customHeight="1">
      <c r="B457" s="5"/>
      <c r="C457" s="5"/>
      <c r="D457" s="5"/>
      <c r="E457" s="5"/>
      <c r="F457" s="5"/>
      <c r="P457" s="33"/>
      <c r="Q457" s="33"/>
      <c r="R457" s="33"/>
      <c r="S457" s="33"/>
      <c r="T457" s="33"/>
    </row>
    <row r="458" spans="2:20" ht="15.75" customHeight="1">
      <c r="B458" s="5"/>
      <c r="C458" s="5"/>
      <c r="D458" s="5"/>
      <c r="E458" s="5"/>
      <c r="F458" s="5"/>
      <c r="P458" s="33"/>
      <c r="Q458" s="33"/>
      <c r="R458" s="33"/>
      <c r="S458" s="33"/>
      <c r="T458" s="33"/>
    </row>
    <row r="459" spans="2:20" ht="15.75" customHeight="1">
      <c r="B459" s="5"/>
      <c r="C459" s="5"/>
      <c r="D459" s="5"/>
      <c r="E459" s="5"/>
      <c r="F459" s="5"/>
      <c r="P459" s="33"/>
      <c r="Q459" s="33"/>
      <c r="R459" s="33"/>
      <c r="S459" s="33"/>
      <c r="T459" s="33"/>
    </row>
    <row r="460" spans="2:20" ht="15.75" customHeight="1">
      <c r="B460" s="5"/>
      <c r="C460" s="5"/>
      <c r="D460" s="5"/>
      <c r="E460" s="5"/>
      <c r="F460" s="5"/>
      <c r="P460" s="33"/>
      <c r="Q460" s="33"/>
      <c r="R460" s="33"/>
      <c r="S460" s="33"/>
      <c r="T460" s="33"/>
    </row>
    <row r="461" spans="2:20" ht="15.75" customHeight="1">
      <c r="B461" s="5"/>
      <c r="C461" s="5"/>
      <c r="D461" s="5"/>
      <c r="E461" s="5"/>
      <c r="F461" s="5"/>
      <c r="P461" s="33"/>
      <c r="Q461" s="33"/>
      <c r="R461" s="33"/>
      <c r="S461" s="33"/>
      <c r="T461" s="33"/>
    </row>
    <row r="462" spans="2:20" ht="15.75" customHeight="1">
      <c r="B462" s="5"/>
      <c r="C462" s="5"/>
      <c r="D462" s="5"/>
      <c r="E462" s="5"/>
      <c r="F462" s="5"/>
      <c r="P462" s="33"/>
      <c r="Q462" s="33"/>
      <c r="R462" s="33"/>
      <c r="S462" s="33"/>
      <c r="T462" s="33"/>
    </row>
    <row r="463" spans="2:20" ht="15.75" customHeight="1">
      <c r="B463" s="5"/>
      <c r="C463" s="5"/>
      <c r="D463" s="5"/>
      <c r="E463" s="5"/>
      <c r="F463" s="5"/>
      <c r="P463" s="33"/>
      <c r="Q463" s="33"/>
      <c r="R463" s="33"/>
      <c r="S463" s="33"/>
      <c r="T463" s="33"/>
    </row>
    <row r="464" spans="2:20" ht="15.75" customHeight="1">
      <c r="B464" s="5"/>
      <c r="C464" s="5"/>
      <c r="D464" s="5"/>
      <c r="E464" s="5"/>
      <c r="F464" s="5"/>
      <c r="P464" s="33"/>
      <c r="Q464" s="33"/>
      <c r="R464" s="33"/>
      <c r="S464" s="33"/>
      <c r="T464" s="33"/>
    </row>
    <row r="465" spans="2:20" ht="15.75" customHeight="1">
      <c r="B465" s="5"/>
      <c r="C465" s="5"/>
      <c r="D465" s="5"/>
      <c r="E465" s="5"/>
      <c r="F465" s="5"/>
      <c r="P465" s="33"/>
      <c r="Q465" s="33"/>
      <c r="R465" s="33"/>
      <c r="S465" s="33"/>
      <c r="T465" s="33"/>
    </row>
    <row r="466" spans="2:20" ht="15.75" customHeight="1">
      <c r="B466" s="5"/>
      <c r="C466" s="5"/>
      <c r="D466" s="5"/>
      <c r="E466" s="5"/>
      <c r="F466" s="5"/>
      <c r="P466" s="33"/>
      <c r="Q466" s="33"/>
      <c r="R466" s="33"/>
      <c r="S466" s="33"/>
      <c r="T466" s="33"/>
    </row>
    <row r="467" spans="2:20" ht="15.75" customHeight="1">
      <c r="B467" s="5"/>
      <c r="C467" s="5"/>
      <c r="D467" s="5"/>
      <c r="E467" s="5"/>
      <c r="F467" s="5"/>
      <c r="P467" s="33"/>
      <c r="Q467" s="33"/>
      <c r="R467" s="33"/>
      <c r="S467" s="33"/>
      <c r="T467" s="33"/>
    </row>
    <row r="468" spans="2:20" ht="15.75" customHeight="1">
      <c r="B468" s="5"/>
      <c r="C468" s="5"/>
      <c r="D468" s="5"/>
      <c r="E468" s="5"/>
      <c r="F468" s="5"/>
      <c r="P468" s="33"/>
      <c r="Q468" s="33"/>
      <c r="R468" s="33"/>
      <c r="S468" s="33"/>
      <c r="T468" s="33"/>
    </row>
    <row r="469" spans="2:20" ht="15.75" customHeight="1">
      <c r="B469" s="5"/>
      <c r="C469" s="5"/>
      <c r="D469" s="5"/>
      <c r="E469" s="5"/>
      <c r="F469" s="5"/>
      <c r="P469" s="33"/>
      <c r="Q469" s="33"/>
      <c r="R469" s="33"/>
      <c r="S469" s="33"/>
      <c r="T469" s="33"/>
    </row>
    <row r="470" spans="2:20" ht="15.75" customHeight="1">
      <c r="B470" s="5"/>
      <c r="C470" s="5"/>
      <c r="D470" s="5"/>
      <c r="E470" s="5"/>
      <c r="F470" s="5"/>
      <c r="P470" s="33"/>
      <c r="Q470" s="33"/>
      <c r="R470" s="33"/>
      <c r="S470" s="33"/>
      <c r="T470" s="33"/>
    </row>
    <row r="471" spans="2:20" ht="15.75" customHeight="1">
      <c r="B471" s="5"/>
      <c r="C471" s="5"/>
      <c r="D471" s="5"/>
      <c r="E471" s="5"/>
      <c r="F471" s="5"/>
      <c r="P471" s="33"/>
      <c r="Q471" s="33"/>
      <c r="R471" s="33"/>
      <c r="S471" s="33"/>
      <c r="T471" s="33"/>
    </row>
    <row r="472" spans="2:20" ht="15.75" customHeight="1">
      <c r="B472" s="5"/>
      <c r="C472" s="5"/>
      <c r="D472" s="5"/>
      <c r="E472" s="5"/>
      <c r="F472" s="5"/>
      <c r="P472" s="33"/>
      <c r="Q472" s="33"/>
      <c r="R472" s="33"/>
      <c r="S472" s="33"/>
      <c r="T472" s="33"/>
    </row>
    <row r="473" spans="2:20" ht="15.75" customHeight="1">
      <c r="B473" s="5"/>
      <c r="C473" s="5"/>
      <c r="D473" s="5"/>
      <c r="E473" s="5"/>
      <c r="F473" s="5"/>
      <c r="P473" s="33"/>
      <c r="Q473" s="33"/>
      <c r="R473" s="33"/>
      <c r="S473" s="33"/>
      <c r="T473" s="33"/>
    </row>
    <row r="474" spans="2:20" ht="15.75" customHeight="1">
      <c r="B474" s="5"/>
      <c r="C474" s="5"/>
      <c r="D474" s="5"/>
      <c r="E474" s="5"/>
      <c r="F474" s="5"/>
      <c r="P474" s="33"/>
      <c r="Q474" s="33"/>
      <c r="R474" s="33"/>
      <c r="S474" s="33"/>
      <c r="T474" s="33"/>
    </row>
    <row r="475" spans="2:20" ht="15.75" customHeight="1">
      <c r="B475" s="5"/>
      <c r="C475" s="5"/>
      <c r="D475" s="5"/>
      <c r="E475" s="5"/>
      <c r="F475" s="5"/>
      <c r="P475" s="33"/>
      <c r="Q475" s="33"/>
      <c r="R475" s="33"/>
      <c r="S475" s="33"/>
      <c r="T475" s="33"/>
    </row>
    <row r="476" spans="2:20" ht="15.75" customHeight="1">
      <c r="B476" s="5"/>
      <c r="C476" s="5"/>
      <c r="D476" s="5"/>
      <c r="E476" s="5"/>
      <c r="F476" s="5"/>
      <c r="P476" s="33"/>
      <c r="Q476" s="33"/>
      <c r="R476" s="33"/>
      <c r="S476" s="33"/>
      <c r="T476" s="33"/>
    </row>
    <row r="477" spans="2:20" ht="15.75" customHeight="1">
      <c r="B477" s="5"/>
      <c r="C477" s="5"/>
      <c r="D477" s="5"/>
      <c r="E477" s="5"/>
      <c r="F477" s="5"/>
      <c r="P477" s="33"/>
      <c r="Q477" s="33"/>
      <c r="R477" s="33"/>
      <c r="S477" s="33"/>
      <c r="T477" s="33"/>
    </row>
    <row r="478" spans="2:20" ht="15.75" customHeight="1">
      <c r="B478" s="5"/>
      <c r="C478" s="5"/>
      <c r="D478" s="5"/>
      <c r="E478" s="5"/>
      <c r="F478" s="5"/>
      <c r="P478" s="33"/>
      <c r="Q478" s="33"/>
      <c r="R478" s="33"/>
      <c r="S478" s="33"/>
      <c r="T478" s="33"/>
    </row>
    <row r="479" spans="2:20" ht="15.75" customHeight="1">
      <c r="B479" s="5"/>
      <c r="C479" s="5"/>
      <c r="D479" s="5"/>
      <c r="E479" s="5"/>
      <c r="F479" s="5"/>
      <c r="P479" s="33"/>
      <c r="Q479" s="33"/>
      <c r="R479" s="33"/>
      <c r="S479" s="33"/>
      <c r="T479" s="33"/>
    </row>
    <row r="480" spans="2:20" ht="15.75" customHeight="1">
      <c r="B480" s="5"/>
      <c r="C480" s="5"/>
      <c r="D480" s="5"/>
      <c r="E480" s="5"/>
      <c r="F480" s="5"/>
      <c r="P480" s="33"/>
      <c r="Q480" s="33"/>
      <c r="R480" s="33"/>
      <c r="S480" s="33"/>
      <c r="T480" s="33"/>
    </row>
    <row r="481" spans="2:20" ht="15.75" customHeight="1">
      <c r="B481" s="5"/>
      <c r="C481" s="5"/>
      <c r="D481" s="5"/>
      <c r="E481" s="5"/>
      <c r="F481" s="5"/>
      <c r="P481" s="33"/>
      <c r="Q481" s="33"/>
      <c r="R481" s="33"/>
      <c r="S481" s="33"/>
      <c r="T481" s="33"/>
    </row>
    <row r="482" spans="2:20" ht="15.75" customHeight="1">
      <c r="B482" s="5"/>
      <c r="C482" s="5"/>
      <c r="D482" s="5"/>
      <c r="E482" s="5"/>
      <c r="F482" s="5"/>
      <c r="P482" s="33"/>
      <c r="Q482" s="33"/>
      <c r="R482" s="33"/>
      <c r="S482" s="33"/>
      <c r="T482" s="33"/>
    </row>
    <row r="483" spans="2:20" ht="15.75" customHeight="1">
      <c r="B483" s="5"/>
      <c r="C483" s="5"/>
      <c r="D483" s="5"/>
      <c r="E483" s="5"/>
      <c r="F483" s="5"/>
      <c r="P483" s="33"/>
      <c r="Q483" s="33"/>
      <c r="R483" s="33"/>
      <c r="S483" s="33"/>
      <c r="T483" s="33"/>
    </row>
    <row r="484" spans="2:20" ht="15.75" customHeight="1">
      <c r="B484" s="5"/>
      <c r="C484" s="5"/>
      <c r="D484" s="5"/>
      <c r="E484" s="5"/>
      <c r="F484" s="5"/>
      <c r="P484" s="33"/>
      <c r="Q484" s="33"/>
      <c r="R484" s="33"/>
      <c r="S484" s="33"/>
      <c r="T484" s="33"/>
    </row>
    <row r="485" spans="2:20" ht="15.75" customHeight="1">
      <c r="B485" s="5"/>
      <c r="C485" s="5"/>
      <c r="D485" s="5"/>
      <c r="E485" s="5"/>
      <c r="F485" s="5"/>
      <c r="P485" s="33"/>
      <c r="Q485" s="33"/>
      <c r="R485" s="33"/>
      <c r="S485" s="33"/>
      <c r="T485" s="33"/>
    </row>
    <row r="486" spans="2:20" ht="15.75" customHeight="1">
      <c r="B486" s="5"/>
      <c r="C486" s="5"/>
      <c r="D486" s="5"/>
      <c r="E486" s="5"/>
      <c r="F486" s="5"/>
      <c r="P486" s="33"/>
      <c r="Q486" s="33"/>
      <c r="R486" s="33"/>
      <c r="S486" s="33"/>
      <c r="T486" s="33"/>
    </row>
    <row r="487" spans="2:20" ht="15.75" customHeight="1">
      <c r="B487" s="5"/>
      <c r="C487" s="5"/>
      <c r="D487" s="5"/>
      <c r="E487" s="5"/>
      <c r="F487" s="5"/>
      <c r="P487" s="33"/>
      <c r="Q487" s="33"/>
      <c r="R487" s="33"/>
      <c r="S487" s="33"/>
      <c r="T487" s="33"/>
    </row>
    <row r="488" spans="2:20" ht="15.75" customHeight="1">
      <c r="B488" s="5"/>
      <c r="C488" s="5"/>
      <c r="D488" s="5"/>
      <c r="E488" s="5"/>
      <c r="F488" s="5"/>
      <c r="P488" s="33"/>
      <c r="Q488" s="33"/>
      <c r="R488" s="33"/>
      <c r="S488" s="33"/>
      <c r="T488" s="33"/>
    </row>
    <row r="489" spans="2:20" ht="15.75" customHeight="1">
      <c r="B489" s="5"/>
      <c r="C489" s="5"/>
      <c r="D489" s="5"/>
      <c r="E489" s="5"/>
      <c r="F489" s="5"/>
      <c r="P489" s="33"/>
      <c r="Q489" s="33"/>
      <c r="R489" s="33"/>
      <c r="S489" s="33"/>
      <c r="T489" s="33"/>
    </row>
    <row r="490" spans="2:20" ht="15.75" customHeight="1">
      <c r="B490" s="5"/>
      <c r="C490" s="5"/>
      <c r="D490" s="5"/>
      <c r="E490" s="5"/>
      <c r="F490" s="5"/>
      <c r="P490" s="33"/>
      <c r="Q490" s="33"/>
      <c r="R490" s="33"/>
      <c r="S490" s="33"/>
      <c r="T490" s="33"/>
    </row>
    <row r="491" spans="2:20" ht="15.75" customHeight="1">
      <c r="B491" s="5"/>
      <c r="C491" s="5"/>
      <c r="D491" s="5"/>
      <c r="E491" s="5"/>
      <c r="F491" s="5"/>
      <c r="P491" s="33"/>
      <c r="Q491" s="33"/>
      <c r="R491" s="33"/>
      <c r="S491" s="33"/>
      <c r="T491" s="33"/>
    </row>
    <row r="492" spans="2:20" ht="15.75" customHeight="1">
      <c r="B492" s="5"/>
      <c r="C492" s="5"/>
      <c r="D492" s="5"/>
      <c r="E492" s="5"/>
      <c r="F492" s="5"/>
      <c r="P492" s="33"/>
      <c r="Q492" s="33"/>
      <c r="R492" s="33"/>
      <c r="S492" s="33"/>
      <c r="T492" s="33"/>
    </row>
    <row r="493" spans="2:20" ht="15.75" customHeight="1">
      <c r="B493" s="5"/>
      <c r="C493" s="5"/>
      <c r="D493" s="5"/>
      <c r="E493" s="5"/>
      <c r="F493" s="5"/>
      <c r="P493" s="33"/>
      <c r="Q493" s="33"/>
      <c r="R493" s="33"/>
      <c r="S493" s="33"/>
      <c r="T493" s="33"/>
    </row>
    <row r="494" spans="2:20" ht="15.75" customHeight="1">
      <c r="B494" s="5"/>
      <c r="C494" s="5"/>
      <c r="D494" s="5"/>
      <c r="E494" s="5"/>
      <c r="F494" s="5"/>
      <c r="P494" s="33"/>
      <c r="Q494" s="33"/>
      <c r="R494" s="33"/>
      <c r="S494" s="33"/>
      <c r="T494" s="33"/>
    </row>
    <row r="495" spans="2:20" ht="15.75" customHeight="1">
      <c r="B495" s="5"/>
      <c r="C495" s="5"/>
      <c r="D495" s="5"/>
      <c r="E495" s="5"/>
      <c r="F495" s="5"/>
      <c r="P495" s="33"/>
      <c r="Q495" s="33"/>
      <c r="R495" s="33"/>
      <c r="S495" s="33"/>
      <c r="T495" s="33"/>
    </row>
    <row r="496" spans="2:20" ht="15.75" customHeight="1">
      <c r="B496" s="5"/>
      <c r="C496" s="5"/>
      <c r="D496" s="5"/>
      <c r="E496" s="5"/>
      <c r="F496" s="5"/>
      <c r="P496" s="33"/>
      <c r="Q496" s="33"/>
      <c r="R496" s="33"/>
      <c r="S496" s="33"/>
      <c r="T496" s="33"/>
    </row>
    <row r="497" spans="2:20" ht="15.75" customHeight="1">
      <c r="B497" s="5"/>
      <c r="C497" s="5"/>
      <c r="D497" s="5"/>
      <c r="E497" s="5"/>
      <c r="F497" s="5"/>
      <c r="P497" s="33"/>
      <c r="Q497" s="33"/>
      <c r="R497" s="33"/>
      <c r="S497" s="33"/>
      <c r="T497" s="33"/>
    </row>
    <row r="498" spans="2:20" ht="15.75" customHeight="1">
      <c r="B498" s="5"/>
      <c r="C498" s="5"/>
      <c r="D498" s="5"/>
      <c r="E498" s="5"/>
      <c r="F498" s="5"/>
      <c r="P498" s="33"/>
      <c r="Q498" s="33"/>
      <c r="R498" s="33"/>
      <c r="S498" s="33"/>
      <c r="T498" s="33"/>
    </row>
    <row r="499" spans="2:20" ht="15.75" customHeight="1">
      <c r="B499" s="5"/>
      <c r="C499" s="5"/>
      <c r="D499" s="5"/>
      <c r="E499" s="5"/>
      <c r="F499" s="5"/>
      <c r="P499" s="33"/>
      <c r="Q499" s="33"/>
      <c r="R499" s="33"/>
      <c r="S499" s="33"/>
      <c r="T499" s="33"/>
    </row>
    <row r="500" spans="2:20" ht="15.75" customHeight="1">
      <c r="B500" s="5"/>
      <c r="C500" s="5"/>
      <c r="D500" s="5"/>
      <c r="E500" s="5"/>
      <c r="F500" s="5"/>
      <c r="P500" s="33"/>
      <c r="Q500" s="33"/>
      <c r="R500" s="33"/>
      <c r="S500" s="33"/>
      <c r="T500" s="33"/>
    </row>
    <row r="501" spans="2:20" ht="15.75" customHeight="1">
      <c r="B501" s="5"/>
      <c r="C501" s="5"/>
      <c r="D501" s="5"/>
      <c r="E501" s="5"/>
      <c r="F501" s="5"/>
      <c r="P501" s="33"/>
      <c r="Q501" s="33"/>
      <c r="R501" s="33"/>
      <c r="S501" s="33"/>
      <c r="T501" s="33"/>
    </row>
    <row r="502" spans="2:20" ht="15.75" customHeight="1">
      <c r="B502" s="5"/>
      <c r="C502" s="5"/>
      <c r="D502" s="5"/>
      <c r="E502" s="5"/>
      <c r="F502" s="5"/>
      <c r="P502" s="33"/>
      <c r="Q502" s="33"/>
      <c r="R502" s="33"/>
      <c r="S502" s="33"/>
      <c r="T502" s="33"/>
    </row>
    <row r="503" spans="2:20" ht="15.75" customHeight="1">
      <c r="B503" s="5"/>
      <c r="C503" s="5"/>
      <c r="D503" s="5"/>
      <c r="E503" s="5"/>
      <c r="F503" s="5"/>
      <c r="P503" s="33"/>
      <c r="Q503" s="33"/>
      <c r="R503" s="33"/>
      <c r="S503" s="33"/>
      <c r="T503" s="33"/>
    </row>
    <row r="504" spans="2:20" ht="15.75" customHeight="1">
      <c r="B504" s="5"/>
      <c r="C504" s="5"/>
      <c r="D504" s="5"/>
      <c r="E504" s="5"/>
      <c r="F504" s="5"/>
      <c r="P504" s="33"/>
      <c r="Q504" s="33"/>
      <c r="R504" s="33"/>
      <c r="S504" s="33"/>
      <c r="T504" s="33"/>
    </row>
    <row r="505" spans="2:20" ht="15.75" customHeight="1">
      <c r="B505" s="5"/>
      <c r="C505" s="5"/>
      <c r="D505" s="5"/>
      <c r="E505" s="5"/>
      <c r="F505" s="5"/>
      <c r="P505" s="33"/>
      <c r="Q505" s="33"/>
      <c r="R505" s="33"/>
      <c r="S505" s="33"/>
      <c r="T505" s="33"/>
    </row>
    <row r="506" spans="2:20" ht="15.75" customHeight="1">
      <c r="B506" s="5"/>
      <c r="C506" s="5"/>
      <c r="D506" s="5"/>
      <c r="E506" s="5"/>
      <c r="F506" s="5"/>
      <c r="P506" s="33"/>
      <c r="Q506" s="33"/>
      <c r="R506" s="33"/>
      <c r="S506" s="33"/>
      <c r="T506" s="33"/>
    </row>
    <row r="507" spans="2:20" ht="15.75" customHeight="1">
      <c r="B507" s="5"/>
      <c r="C507" s="5"/>
      <c r="D507" s="5"/>
      <c r="E507" s="5"/>
      <c r="F507" s="5"/>
      <c r="P507" s="33"/>
      <c r="Q507" s="33"/>
      <c r="R507" s="33"/>
      <c r="S507" s="33"/>
      <c r="T507" s="33"/>
    </row>
    <row r="508" spans="2:20" ht="15.75" customHeight="1">
      <c r="B508" s="5"/>
      <c r="C508" s="5"/>
      <c r="D508" s="5"/>
      <c r="E508" s="5"/>
      <c r="F508" s="5"/>
      <c r="P508" s="33"/>
      <c r="Q508" s="33"/>
      <c r="R508" s="33"/>
      <c r="S508" s="33"/>
      <c r="T508" s="33"/>
    </row>
    <row r="509" spans="2:20" ht="15.75" customHeight="1">
      <c r="B509" s="5"/>
      <c r="C509" s="5"/>
      <c r="D509" s="5"/>
      <c r="E509" s="5"/>
      <c r="F509" s="5"/>
      <c r="P509" s="33"/>
      <c r="Q509" s="33"/>
      <c r="R509" s="33"/>
      <c r="S509" s="33"/>
      <c r="T509" s="33"/>
    </row>
    <row r="510" spans="2:20" ht="15.75" customHeight="1">
      <c r="B510" s="5"/>
      <c r="C510" s="5"/>
      <c r="D510" s="5"/>
      <c r="E510" s="5"/>
      <c r="F510" s="5"/>
      <c r="P510" s="33"/>
      <c r="Q510" s="33"/>
      <c r="R510" s="33"/>
      <c r="S510" s="33"/>
      <c r="T510" s="33"/>
    </row>
    <row r="511" spans="2:20" ht="15.75" customHeight="1">
      <c r="B511" s="5"/>
      <c r="C511" s="5"/>
      <c r="D511" s="5"/>
      <c r="E511" s="5"/>
      <c r="F511" s="5"/>
      <c r="P511" s="33"/>
      <c r="Q511" s="33"/>
      <c r="R511" s="33"/>
      <c r="S511" s="33"/>
      <c r="T511" s="33"/>
    </row>
    <row r="512" spans="2:20" ht="15.75" customHeight="1">
      <c r="B512" s="5"/>
      <c r="C512" s="5"/>
      <c r="D512" s="5"/>
      <c r="E512" s="5"/>
      <c r="F512" s="5"/>
      <c r="P512" s="33"/>
      <c r="Q512" s="33"/>
      <c r="R512" s="33"/>
      <c r="S512" s="33"/>
      <c r="T512" s="33"/>
    </row>
    <row r="513" spans="2:20" ht="15.75" customHeight="1">
      <c r="B513" s="5"/>
      <c r="C513" s="5"/>
      <c r="D513" s="5"/>
      <c r="E513" s="5"/>
      <c r="F513" s="5"/>
      <c r="P513" s="33"/>
      <c r="Q513" s="33"/>
      <c r="R513" s="33"/>
      <c r="S513" s="33"/>
      <c r="T513" s="33"/>
    </row>
    <row r="514" spans="2:20" ht="15.75" customHeight="1">
      <c r="B514" s="5"/>
      <c r="C514" s="5"/>
      <c r="D514" s="5"/>
      <c r="E514" s="5"/>
      <c r="F514" s="5"/>
      <c r="P514" s="33"/>
      <c r="Q514" s="33"/>
      <c r="R514" s="33"/>
      <c r="S514" s="33"/>
      <c r="T514" s="33"/>
    </row>
    <row r="515" spans="2:20" ht="15.75" customHeight="1">
      <c r="B515" s="5"/>
      <c r="C515" s="5"/>
      <c r="D515" s="5"/>
      <c r="E515" s="5"/>
      <c r="F515" s="5"/>
      <c r="P515" s="33"/>
      <c r="Q515" s="33"/>
      <c r="R515" s="33"/>
      <c r="S515" s="33"/>
      <c r="T515" s="33"/>
    </row>
    <row r="516" spans="2:20" ht="15.75" customHeight="1">
      <c r="B516" s="5"/>
      <c r="C516" s="5"/>
      <c r="D516" s="5"/>
      <c r="E516" s="5"/>
      <c r="F516" s="5"/>
      <c r="P516" s="33"/>
      <c r="Q516" s="33"/>
      <c r="R516" s="33"/>
      <c r="S516" s="33"/>
      <c r="T516" s="33"/>
    </row>
    <row r="517" spans="2:20" ht="15.75" customHeight="1">
      <c r="B517" s="5"/>
      <c r="C517" s="5"/>
      <c r="D517" s="5"/>
      <c r="E517" s="5"/>
      <c r="F517" s="5"/>
      <c r="P517" s="33"/>
      <c r="Q517" s="33"/>
      <c r="R517" s="33"/>
      <c r="S517" s="33"/>
      <c r="T517" s="33"/>
    </row>
    <row r="518" spans="2:20" ht="15.75" customHeight="1">
      <c r="B518" s="5"/>
      <c r="C518" s="5"/>
      <c r="D518" s="5"/>
      <c r="E518" s="5"/>
      <c r="F518" s="5"/>
      <c r="P518" s="33"/>
      <c r="Q518" s="33"/>
      <c r="R518" s="33"/>
      <c r="S518" s="33"/>
      <c r="T518" s="33"/>
    </row>
    <row r="519" spans="2:20" ht="15.75" customHeight="1">
      <c r="B519" s="5"/>
      <c r="C519" s="5"/>
      <c r="D519" s="5"/>
      <c r="E519" s="5"/>
      <c r="F519" s="5"/>
      <c r="P519" s="33"/>
      <c r="Q519" s="33"/>
      <c r="R519" s="33"/>
      <c r="S519" s="33"/>
      <c r="T519" s="33"/>
    </row>
    <row r="520" spans="2:20" ht="15.75" customHeight="1">
      <c r="B520" s="5"/>
      <c r="C520" s="5"/>
      <c r="D520" s="5"/>
      <c r="E520" s="5"/>
      <c r="F520" s="5"/>
      <c r="P520" s="33"/>
      <c r="Q520" s="33"/>
      <c r="R520" s="33"/>
      <c r="S520" s="33"/>
      <c r="T520" s="33"/>
    </row>
    <row r="521" spans="2:20" ht="15.75" customHeight="1">
      <c r="B521" s="5"/>
      <c r="C521" s="5"/>
      <c r="D521" s="5"/>
      <c r="E521" s="5"/>
      <c r="F521" s="5"/>
      <c r="P521" s="33"/>
      <c r="Q521" s="33"/>
      <c r="R521" s="33"/>
      <c r="S521" s="33"/>
      <c r="T521" s="33"/>
    </row>
    <row r="522" spans="2:20" ht="15.75" customHeight="1">
      <c r="B522" s="5"/>
      <c r="C522" s="5"/>
      <c r="D522" s="5"/>
      <c r="E522" s="5"/>
      <c r="F522" s="5"/>
      <c r="P522" s="33"/>
      <c r="Q522" s="33"/>
      <c r="R522" s="33"/>
      <c r="S522" s="33"/>
      <c r="T522" s="33"/>
    </row>
    <row r="523" spans="2:20" ht="15.75" customHeight="1">
      <c r="B523" s="5"/>
      <c r="C523" s="5"/>
      <c r="D523" s="5"/>
      <c r="E523" s="5"/>
      <c r="F523" s="5"/>
      <c r="P523" s="33"/>
      <c r="Q523" s="33"/>
      <c r="R523" s="33"/>
      <c r="S523" s="33"/>
      <c r="T523" s="33"/>
    </row>
    <row r="524" spans="2:20" ht="15.75" customHeight="1">
      <c r="B524" s="5"/>
      <c r="C524" s="5"/>
      <c r="D524" s="5"/>
      <c r="E524" s="5"/>
      <c r="F524" s="5"/>
      <c r="P524" s="33"/>
      <c r="Q524" s="33"/>
      <c r="R524" s="33"/>
      <c r="S524" s="33"/>
      <c r="T524" s="33"/>
    </row>
    <row r="525" spans="2:20" ht="15.75" customHeight="1">
      <c r="B525" s="5"/>
      <c r="C525" s="5"/>
      <c r="D525" s="5"/>
      <c r="E525" s="5"/>
      <c r="F525" s="5"/>
      <c r="P525" s="33"/>
      <c r="Q525" s="33"/>
      <c r="R525" s="33"/>
      <c r="S525" s="33"/>
      <c r="T525" s="33"/>
    </row>
    <row r="526" spans="2:20" ht="15.75" customHeight="1">
      <c r="B526" s="5"/>
      <c r="C526" s="5"/>
      <c r="D526" s="5"/>
      <c r="E526" s="5"/>
      <c r="F526" s="5"/>
      <c r="P526" s="33"/>
      <c r="Q526" s="33"/>
      <c r="R526" s="33"/>
      <c r="S526" s="33"/>
      <c r="T526" s="33"/>
    </row>
    <row r="527" spans="2:20" ht="15.75" customHeight="1">
      <c r="B527" s="5"/>
      <c r="C527" s="5"/>
      <c r="D527" s="5"/>
      <c r="E527" s="5"/>
      <c r="F527" s="5"/>
      <c r="P527" s="33"/>
      <c r="Q527" s="33"/>
      <c r="R527" s="33"/>
      <c r="S527" s="33"/>
      <c r="T527" s="33"/>
    </row>
    <row r="528" spans="2:20" ht="15.75" customHeight="1">
      <c r="B528" s="5"/>
      <c r="C528" s="5"/>
      <c r="D528" s="5"/>
      <c r="E528" s="5"/>
      <c r="F528" s="5"/>
      <c r="P528" s="33"/>
      <c r="Q528" s="33"/>
      <c r="R528" s="33"/>
      <c r="S528" s="33"/>
      <c r="T528" s="33"/>
    </row>
    <row r="529" spans="2:20" ht="15.75" customHeight="1">
      <c r="B529" s="5"/>
      <c r="C529" s="5"/>
      <c r="D529" s="5"/>
      <c r="E529" s="5"/>
      <c r="F529" s="5"/>
      <c r="P529" s="33"/>
      <c r="Q529" s="33"/>
      <c r="R529" s="33"/>
      <c r="S529" s="33"/>
      <c r="T529" s="33"/>
    </row>
    <row r="530" spans="2:20" ht="15.75" customHeight="1">
      <c r="B530" s="5"/>
      <c r="C530" s="5"/>
      <c r="D530" s="5"/>
      <c r="E530" s="5"/>
      <c r="F530" s="5"/>
      <c r="P530" s="33"/>
      <c r="Q530" s="33"/>
      <c r="R530" s="33"/>
      <c r="S530" s="33"/>
      <c r="T530" s="33"/>
    </row>
    <row r="531" spans="2:20" ht="15.75" customHeight="1">
      <c r="B531" s="5"/>
      <c r="C531" s="5"/>
      <c r="D531" s="5"/>
      <c r="E531" s="5"/>
      <c r="F531" s="5"/>
      <c r="P531" s="33"/>
      <c r="Q531" s="33"/>
      <c r="R531" s="33"/>
      <c r="S531" s="33"/>
      <c r="T531" s="33"/>
    </row>
    <row r="532" spans="2:20" ht="15.75" customHeight="1">
      <c r="B532" s="5"/>
      <c r="C532" s="5"/>
      <c r="D532" s="5"/>
      <c r="E532" s="5"/>
      <c r="F532" s="5"/>
      <c r="P532" s="33"/>
      <c r="Q532" s="33"/>
      <c r="R532" s="33"/>
      <c r="S532" s="33"/>
      <c r="T532" s="33"/>
    </row>
    <row r="533" spans="2:20" ht="15.75" customHeight="1">
      <c r="B533" s="5"/>
      <c r="C533" s="5"/>
      <c r="D533" s="5"/>
      <c r="E533" s="5"/>
      <c r="F533" s="5"/>
      <c r="P533" s="33"/>
      <c r="Q533" s="33"/>
      <c r="R533" s="33"/>
      <c r="S533" s="33"/>
      <c r="T533" s="33"/>
    </row>
    <row r="534" spans="2:20" ht="15.75" customHeight="1">
      <c r="B534" s="5"/>
      <c r="C534" s="5"/>
      <c r="D534" s="5"/>
      <c r="E534" s="5"/>
      <c r="F534" s="5"/>
      <c r="P534" s="33"/>
      <c r="Q534" s="33"/>
      <c r="R534" s="33"/>
      <c r="S534" s="33"/>
      <c r="T534" s="33"/>
    </row>
    <row r="535" spans="2:20" ht="15.75" customHeight="1">
      <c r="B535" s="5"/>
      <c r="C535" s="5"/>
      <c r="D535" s="5"/>
      <c r="E535" s="5"/>
      <c r="F535" s="5"/>
      <c r="P535" s="33"/>
      <c r="Q535" s="33"/>
      <c r="R535" s="33"/>
      <c r="S535" s="33"/>
      <c r="T535" s="33"/>
    </row>
    <row r="536" spans="2:20" ht="15.75" customHeight="1">
      <c r="B536" s="5"/>
      <c r="C536" s="5"/>
      <c r="D536" s="5"/>
      <c r="E536" s="5"/>
      <c r="F536" s="5"/>
      <c r="P536" s="33"/>
      <c r="Q536" s="33"/>
      <c r="R536" s="33"/>
      <c r="S536" s="33"/>
      <c r="T536" s="33"/>
    </row>
    <row r="537" spans="2:20" ht="15.75" customHeight="1">
      <c r="B537" s="5"/>
      <c r="C537" s="5"/>
      <c r="D537" s="5"/>
      <c r="E537" s="5"/>
      <c r="F537" s="5"/>
      <c r="P537" s="33"/>
      <c r="Q537" s="33"/>
      <c r="R537" s="33"/>
      <c r="S537" s="33"/>
      <c r="T537" s="33"/>
    </row>
    <row r="538" spans="2:20" ht="15.75" customHeight="1">
      <c r="B538" s="5"/>
      <c r="C538" s="5"/>
      <c r="D538" s="5"/>
      <c r="E538" s="5"/>
      <c r="F538" s="5"/>
      <c r="P538" s="33"/>
      <c r="Q538" s="33"/>
      <c r="R538" s="33"/>
      <c r="S538" s="33"/>
      <c r="T538" s="33"/>
    </row>
    <row r="539" spans="2:20" ht="15.75" customHeight="1">
      <c r="B539" s="5"/>
      <c r="C539" s="5"/>
      <c r="D539" s="5"/>
      <c r="E539" s="5"/>
      <c r="F539" s="5"/>
      <c r="P539" s="33"/>
      <c r="Q539" s="33"/>
      <c r="R539" s="33"/>
      <c r="S539" s="33"/>
      <c r="T539" s="33"/>
    </row>
    <row r="540" spans="2:20" ht="15.75" customHeight="1">
      <c r="B540" s="5"/>
      <c r="C540" s="5"/>
      <c r="D540" s="5"/>
      <c r="E540" s="5"/>
      <c r="F540" s="5"/>
      <c r="P540" s="33"/>
      <c r="Q540" s="33"/>
      <c r="R540" s="33"/>
      <c r="S540" s="33"/>
      <c r="T540" s="33"/>
    </row>
    <row r="541" spans="2:20" ht="15.75" customHeight="1">
      <c r="B541" s="5"/>
      <c r="C541" s="5"/>
      <c r="D541" s="5"/>
      <c r="E541" s="5"/>
      <c r="F541" s="5"/>
      <c r="P541" s="33"/>
      <c r="Q541" s="33"/>
      <c r="R541" s="33"/>
      <c r="S541" s="33"/>
      <c r="T541" s="33"/>
    </row>
    <row r="542" spans="2:20" ht="15.75" customHeight="1">
      <c r="B542" s="5"/>
      <c r="C542" s="5"/>
      <c r="D542" s="5"/>
      <c r="E542" s="5"/>
      <c r="F542" s="5"/>
      <c r="P542" s="33"/>
      <c r="Q542" s="33"/>
      <c r="R542" s="33"/>
      <c r="S542" s="33"/>
      <c r="T542" s="33"/>
    </row>
    <row r="543" spans="2:20" ht="15.75" customHeight="1">
      <c r="B543" s="5"/>
      <c r="C543" s="5"/>
      <c r="D543" s="5"/>
      <c r="E543" s="5"/>
      <c r="F543" s="5"/>
      <c r="P543" s="33"/>
      <c r="Q543" s="33"/>
      <c r="R543" s="33"/>
      <c r="S543" s="33"/>
      <c r="T543" s="33"/>
    </row>
    <row r="544" spans="2:20" ht="15.75" customHeight="1">
      <c r="B544" s="5"/>
      <c r="C544" s="5"/>
      <c r="D544" s="5"/>
      <c r="E544" s="5"/>
      <c r="F544" s="5"/>
      <c r="P544" s="33"/>
      <c r="Q544" s="33"/>
      <c r="R544" s="33"/>
      <c r="S544" s="33"/>
      <c r="T544" s="33"/>
    </row>
    <row r="545" spans="2:20" ht="15.75" customHeight="1">
      <c r="B545" s="5"/>
      <c r="C545" s="5"/>
      <c r="D545" s="5"/>
      <c r="E545" s="5"/>
      <c r="F545" s="5"/>
      <c r="P545" s="33"/>
      <c r="Q545" s="33"/>
      <c r="R545" s="33"/>
      <c r="S545" s="33"/>
      <c r="T545" s="33"/>
    </row>
    <row r="546" spans="2:20" ht="15.75" customHeight="1">
      <c r="B546" s="5"/>
      <c r="C546" s="5"/>
      <c r="D546" s="5"/>
      <c r="E546" s="5"/>
      <c r="F546" s="5"/>
      <c r="P546" s="33"/>
      <c r="Q546" s="33"/>
      <c r="R546" s="33"/>
      <c r="S546" s="33"/>
      <c r="T546" s="33"/>
    </row>
    <row r="547" spans="2:20" ht="15.75" customHeight="1">
      <c r="B547" s="5"/>
      <c r="C547" s="5"/>
      <c r="D547" s="5"/>
      <c r="E547" s="5"/>
      <c r="F547" s="5"/>
      <c r="P547" s="33"/>
      <c r="Q547" s="33"/>
      <c r="R547" s="33"/>
      <c r="S547" s="33"/>
      <c r="T547" s="33"/>
    </row>
    <row r="548" spans="2:20" ht="15.75" customHeight="1">
      <c r="B548" s="5"/>
      <c r="C548" s="5"/>
      <c r="D548" s="5"/>
      <c r="E548" s="5"/>
      <c r="F548" s="5"/>
      <c r="P548" s="33"/>
      <c r="Q548" s="33"/>
      <c r="R548" s="33"/>
      <c r="S548" s="33"/>
      <c r="T548" s="33"/>
    </row>
    <row r="549" spans="2:20" ht="15.75" customHeight="1">
      <c r="B549" s="5"/>
      <c r="C549" s="5"/>
      <c r="D549" s="5"/>
      <c r="E549" s="5"/>
      <c r="F549" s="5"/>
      <c r="P549" s="33"/>
      <c r="Q549" s="33"/>
      <c r="R549" s="33"/>
      <c r="S549" s="33"/>
      <c r="T549" s="33"/>
    </row>
    <row r="550" spans="2:20" ht="15.75" customHeight="1">
      <c r="B550" s="5"/>
      <c r="C550" s="5"/>
      <c r="D550" s="5"/>
      <c r="E550" s="5"/>
      <c r="F550" s="5"/>
      <c r="P550" s="33"/>
      <c r="Q550" s="33"/>
      <c r="R550" s="33"/>
      <c r="S550" s="33"/>
      <c r="T550" s="33"/>
    </row>
    <row r="551" spans="2:20" ht="15.75" customHeight="1">
      <c r="B551" s="5"/>
      <c r="C551" s="5"/>
      <c r="D551" s="5"/>
      <c r="E551" s="5"/>
      <c r="F551" s="5"/>
      <c r="P551" s="33"/>
      <c r="Q551" s="33"/>
      <c r="R551" s="33"/>
      <c r="S551" s="33"/>
      <c r="T551" s="33"/>
    </row>
    <row r="552" spans="2:20" ht="15.75" customHeight="1">
      <c r="B552" s="5"/>
      <c r="C552" s="5"/>
      <c r="D552" s="5"/>
      <c r="E552" s="5"/>
      <c r="F552" s="5"/>
      <c r="P552" s="33"/>
      <c r="Q552" s="33"/>
      <c r="R552" s="33"/>
      <c r="S552" s="33"/>
      <c r="T552" s="33"/>
    </row>
    <row r="553" spans="2:20" ht="15.75" customHeight="1">
      <c r="B553" s="5"/>
      <c r="C553" s="5"/>
      <c r="D553" s="5"/>
      <c r="E553" s="5"/>
      <c r="F553" s="5"/>
      <c r="P553" s="33"/>
      <c r="Q553" s="33"/>
      <c r="R553" s="33"/>
      <c r="S553" s="33"/>
      <c r="T553" s="33"/>
    </row>
    <row r="554" spans="2:20" ht="15.75" customHeight="1">
      <c r="B554" s="5"/>
      <c r="C554" s="5"/>
      <c r="D554" s="5"/>
      <c r="E554" s="5"/>
      <c r="F554" s="5"/>
      <c r="P554" s="33"/>
      <c r="Q554" s="33"/>
      <c r="R554" s="33"/>
      <c r="S554" s="33"/>
      <c r="T554" s="33"/>
    </row>
    <row r="555" spans="2:20" ht="15.75" customHeight="1">
      <c r="B555" s="5"/>
      <c r="C555" s="5"/>
      <c r="D555" s="5"/>
      <c r="E555" s="5"/>
      <c r="F555" s="5"/>
      <c r="P555" s="33"/>
      <c r="Q555" s="33"/>
      <c r="R555" s="33"/>
      <c r="S555" s="33"/>
      <c r="T555" s="33"/>
    </row>
    <row r="556" spans="2:20" ht="15.75" customHeight="1">
      <c r="B556" s="5"/>
      <c r="C556" s="5"/>
      <c r="D556" s="5"/>
      <c r="E556" s="5"/>
      <c r="F556" s="5"/>
      <c r="P556" s="33"/>
      <c r="Q556" s="33"/>
      <c r="R556" s="33"/>
      <c r="S556" s="33"/>
      <c r="T556" s="33"/>
    </row>
    <row r="557" spans="2:20" ht="15.75" customHeight="1">
      <c r="B557" s="5"/>
      <c r="C557" s="5"/>
      <c r="D557" s="5"/>
      <c r="E557" s="5"/>
      <c r="F557" s="5"/>
      <c r="P557" s="33"/>
      <c r="Q557" s="33"/>
      <c r="R557" s="33"/>
      <c r="S557" s="33"/>
      <c r="T557" s="33"/>
    </row>
    <row r="558" spans="2:20" ht="15.75" customHeight="1">
      <c r="B558" s="5"/>
      <c r="C558" s="5"/>
      <c r="D558" s="5"/>
      <c r="E558" s="5"/>
      <c r="F558" s="5"/>
      <c r="P558" s="33"/>
      <c r="Q558" s="33"/>
      <c r="R558" s="33"/>
      <c r="S558" s="33"/>
      <c r="T558" s="33"/>
    </row>
    <row r="559" spans="2:20" ht="15.75" customHeight="1">
      <c r="B559" s="5"/>
      <c r="C559" s="5"/>
      <c r="D559" s="5"/>
      <c r="E559" s="5"/>
      <c r="F559" s="5"/>
      <c r="P559" s="33"/>
      <c r="Q559" s="33"/>
      <c r="R559" s="33"/>
      <c r="S559" s="33"/>
      <c r="T559" s="33"/>
    </row>
    <row r="560" spans="2:20" ht="15.75" customHeight="1">
      <c r="B560" s="5"/>
      <c r="C560" s="5"/>
      <c r="D560" s="5"/>
      <c r="E560" s="5"/>
      <c r="F560" s="5"/>
      <c r="P560" s="33"/>
      <c r="Q560" s="33"/>
      <c r="R560" s="33"/>
      <c r="S560" s="33"/>
      <c r="T560" s="33"/>
    </row>
    <row r="561" spans="2:20" ht="15.75" customHeight="1">
      <c r="B561" s="5"/>
      <c r="C561" s="5"/>
      <c r="D561" s="5"/>
      <c r="E561" s="5"/>
      <c r="F561" s="5"/>
      <c r="P561" s="33"/>
      <c r="Q561" s="33"/>
      <c r="R561" s="33"/>
      <c r="S561" s="33"/>
      <c r="T561" s="33"/>
    </row>
    <row r="562" spans="2:20" ht="15.75" customHeight="1">
      <c r="B562" s="5"/>
      <c r="C562" s="5"/>
      <c r="D562" s="5"/>
      <c r="E562" s="5"/>
      <c r="F562" s="5"/>
      <c r="P562" s="33"/>
      <c r="Q562" s="33"/>
      <c r="R562" s="33"/>
      <c r="S562" s="33"/>
      <c r="T562" s="33"/>
    </row>
    <row r="563" spans="2:20" ht="15.75" customHeight="1">
      <c r="B563" s="5"/>
      <c r="C563" s="5"/>
      <c r="D563" s="5"/>
      <c r="E563" s="5"/>
      <c r="F563" s="5"/>
      <c r="P563" s="33"/>
      <c r="Q563" s="33"/>
      <c r="R563" s="33"/>
      <c r="S563" s="33"/>
      <c r="T563" s="33"/>
    </row>
    <row r="564" spans="2:20" ht="15.75" customHeight="1">
      <c r="B564" s="5"/>
      <c r="C564" s="5"/>
      <c r="D564" s="5"/>
      <c r="E564" s="5"/>
      <c r="F564" s="5"/>
      <c r="P564" s="33"/>
      <c r="Q564" s="33"/>
      <c r="R564" s="33"/>
      <c r="S564" s="33"/>
      <c r="T564" s="33"/>
    </row>
    <row r="565" spans="2:20" ht="15.75" customHeight="1">
      <c r="B565" s="5"/>
      <c r="C565" s="5"/>
      <c r="D565" s="5"/>
      <c r="E565" s="5"/>
      <c r="F565" s="5"/>
      <c r="P565" s="33"/>
      <c r="Q565" s="33"/>
      <c r="R565" s="33"/>
      <c r="S565" s="33"/>
      <c r="T565" s="33"/>
    </row>
    <row r="566" spans="2:20" ht="15.75" customHeight="1">
      <c r="B566" s="5"/>
      <c r="C566" s="5"/>
      <c r="D566" s="5"/>
      <c r="E566" s="5"/>
      <c r="F566" s="5"/>
      <c r="P566" s="33"/>
      <c r="Q566" s="33"/>
      <c r="R566" s="33"/>
      <c r="S566" s="33"/>
      <c r="T566" s="33"/>
    </row>
    <row r="567" spans="2:20" ht="15.75" customHeight="1">
      <c r="B567" s="5"/>
      <c r="C567" s="5"/>
      <c r="D567" s="5"/>
      <c r="E567" s="5"/>
      <c r="F567" s="5"/>
      <c r="P567" s="33"/>
      <c r="Q567" s="33"/>
      <c r="R567" s="33"/>
      <c r="S567" s="33"/>
      <c r="T567" s="33"/>
    </row>
    <row r="568" spans="2:20" ht="15.75" customHeight="1">
      <c r="B568" s="5"/>
      <c r="C568" s="5"/>
      <c r="D568" s="5"/>
      <c r="E568" s="5"/>
      <c r="F568" s="5"/>
      <c r="P568" s="33"/>
      <c r="Q568" s="33"/>
      <c r="R568" s="33"/>
      <c r="S568" s="33"/>
      <c r="T568" s="33"/>
    </row>
    <row r="569" spans="2:20" ht="15.75" customHeight="1">
      <c r="B569" s="5"/>
      <c r="C569" s="5"/>
      <c r="D569" s="5"/>
      <c r="E569" s="5"/>
      <c r="F569" s="5"/>
      <c r="P569" s="33"/>
      <c r="Q569" s="33"/>
      <c r="R569" s="33"/>
      <c r="S569" s="33"/>
      <c r="T569" s="33"/>
    </row>
    <row r="570" spans="2:20" ht="15.75" customHeight="1">
      <c r="B570" s="5"/>
      <c r="C570" s="5"/>
      <c r="D570" s="5"/>
      <c r="E570" s="5"/>
      <c r="F570" s="5"/>
      <c r="P570" s="33"/>
      <c r="Q570" s="33"/>
      <c r="R570" s="33"/>
      <c r="S570" s="33"/>
      <c r="T570" s="33"/>
    </row>
    <row r="571" spans="2:20" ht="15.75" customHeight="1">
      <c r="B571" s="5"/>
      <c r="C571" s="5"/>
      <c r="D571" s="5"/>
      <c r="E571" s="5"/>
      <c r="F571" s="5"/>
      <c r="P571" s="33"/>
      <c r="Q571" s="33"/>
      <c r="R571" s="33"/>
      <c r="S571" s="33"/>
      <c r="T571" s="33"/>
    </row>
    <row r="572" spans="2:20" ht="15.75" customHeight="1">
      <c r="B572" s="5"/>
      <c r="C572" s="5"/>
      <c r="D572" s="5"/>
      <c r="E572" s="5"/>
      <c r="F572" s="5"/>
      <c r="P572" s="33"/>
      <c r="Q572" s="33"/>
      <c r="R572" s="33"/>
      <c r="S572" s="33"/>
      <c r="T572" s="33"/>
    </row>
    <row r="573" spans="2:20" ht="15.75" customHeight="1">
      <c r="B573" s="5"/>
      <c r="C573" s="5"/>
      <c r="D573" s="5"/>
      <c r="E573" s="5"/>
      <c r="F573" s="5"/>
      <c r="P573" s="33"/>
      <c r="Q573" s="33"/>
      <c r="R573" s="33"/>
      <c r="S573" s="33"/>
      <c r="T573" s="33"/>
    </row>
    <row r="574" spans="2:20" ht="15.75" customHeight="1">
      <c r="B574" s="5"/>
      <c r="C574" s="5"/>
      <c r="D574" s="5"/>
      <c r="E574" s="5"/>
      <c r="F574" s="5"/>
      <c r="P574" s="33"/>
      <c r="Q574" s="33"/>
      <c r="R574" s="33"/>
      <c r="S574" s="33"/>
      <c r="T574" s="33"/>
    </row>
    <row r="575" spans="2:20" ht="15.75" customHeight="1">
      <c r="B575" s="5"/>
      <c r="C575" s="5"/>
      <c r="D575" s="5"/>
      <c r="E575" s="5"/>
      <c r="F575" s="5"/>
      <c r="P575" s="33"/>
      <c r="Q575" s="33"/>
      <c r="R575" s="33"/>
      <c r="S575" s="33"/>
      <c r="T575" s="33"/>
    </row>
    <row r="576" spans="2:20" ht="15.75" customHeight="1">
      <c r="B576" s="5"/>
      <c r="C576" s="5"/>
      <c r="D576" s="5"/>
      <c r="E576" s="5"/>
      <c r="F576" s="5"/>
      <c r="P576" s="33"/>
      <c r="Q576" s="33"/>
      <c r="R576" s="33"/>
      <c r="S576" s="33"/>
      <c r="T576" s="33"/>
    </row>
    <row r="577" spans="2:20" ht="15.75" customHeight="1">
      <c r="B577" s="5"/>
      <c r="C577" s="5"/>
      <c r="D577" s="5"/>
      <c r="E577" s="5"/>
      <c r="F577" s="5"/>
      <c r="P577" s="33"/>
      <c r="Q577" s="33"/>
      <c r="R577" s="33"/>
      <c r="S577" s="33"/>
      <c r="T577" s="33"/>
    </row>
    <row r="578" spans="2:20" ht="15.75" customHeight="1">
      <c r="B578" s="5"/>
      <c r="C578" s="5"/>
      <c r="D578" s="5"/>
      <c r="E578" s="5"/>
      <c r="F578" s="5"/>
      <c r="P578" s="33"/>
      <c r="Q578" s="33"/>
      <c r="R578" s="33"/>
      <c r="S578" s="33"/>
      <c r="T578" s="33"/>
    </row>
    <row r="579" spans="2:20" ht="15.75" customHeight="1">
      <c r="B579" s="5"/>
      <c r="C579" s="5"/>
      <c r="D579" s="5"/>
      <c r="E579" s="5"/>
      <c r="F579" s="5"/>
      <c r="P579" s="33"/>
      <c r="Q579" s="33"/>
      <c r="R579" s="33"/>
      <c r="S579" s="33"/>
      <c r="T579" s="33"/>
    </row>
    <row r="580" spans="2:20" ht="15.75" customHeight="1">
      <c r="B580" s="5"/>
      <c r="C580" s="5"/>
      <c r="D580" s="5"/>
      <c r="E580" s="5"/>
      <c r="F580" s="5"/>
      <c r="P580" s="33"/>
      <c r="Q580" s="33"/>
      <c r="R580" s="33"/>
      <c r="S580" s="33"/>
      <c r="T580" s="33"/>
    </row>
    <row r="581" spans="2:20" ht="15.75" customHeight="1">
      <c r="B581" s="5"/>
      <c r="C581" s="5"/>
      <c r="D581" s="5"/>
      <c r="E581" s="5"/>
      <c r="F581" s="5"/>
      <c r="P581" s="33"/>
      <c r="Q581" s="33"/>
      <c r="R581" s="33"/>
      <c r="S581" s="33"/>
      <c r="T581" s="33"/>
    </row>
    <row r="582" spans="2:20" ht="15.75" customHeight="1">
      <c r="B582" s="5"/>
      <c r="C582" s="5"/>
      <c r="D582" s="5"/>
      <c r="E582" s="5"/>
      <c r="F582" s="5"/>
      <c r="P582" s="33"/>
      <c r="Q582" s="33"/>
      <c r="R582" s="33"/>
      <c r="S582" s="33"/>
      <c r="T582" s="33"/>
    </row>
    <row r="583" spans="2:20" ht="15.75" customHeight="1">
      <c r="B583" s="5"/>
      <c r="C583" s="5"/>
      <c r="D583" s="5"/>
      <c r="E583" s="5"/>
      <c r="F583" s="5"/>
      <c r="P583" s="33"/>
      <c r="Q583" s="33"/>
      <c r="R583" s="33"/>
      <c r="S583" s="33"/>
      <c r="T583" s="33"/>
    </row>
    <row r="584" spans="2:20" ht="15.75" customHeight="1">
      <c r="B584" s="5"/>
      <c r="C584" s="5"/>
      <c r="D584" s="5"/>
      <c r="E584" s="5"/>
      <c r="F584" s="5"/>
      <c r="P584" s="33"/>
      <c r="Q584" s="33"/>
      <c r="R584" s="33"/>
      <c r="S584" s="33"/>
      <c r="T584" s="33"/>
    </row>
    <row r="585" spans="2:20" ht="15.75" customHeight="1">
      <c r="B585" s="5"/>
      <c r="C585" s="5"/>
      <c r="D585" s="5"/>
      <c r="E585" s="5"/>
      <c r="F585" s="5"/>
      <c r="P585" s="33"/>
      <c r="Q585" s="33"/>
      <c r="R585" s="33"/>
      <c r="S585" s="33"/>
      <c r="T585" s="33"/>
    </row>
    <row r="586" spans="2:20" ht="15.75" customHeight="1">
      <c r="B586" s="5"/>
      <c r="C586" s="5"/>
      <c r="D586" s="5"/>
      <c r="E586" s="5"/>
      <c r="F586" s="5"/>
      <c r="P586" s="33"/>
      <c r="Q586" s="33"/>
      <c r="R586" s="33"/>
      <c r="S586" s="33"/>
      <c r="T586" s="33"/>
    </row>
    <row r="587" spans="2:20" ht="15.75" customHeight="1">
      <c r="B587" s="5"/>
      <c r="C587" s="5"/>
      <c r="D587" s="5"/>
      <c r="E587" s="5"/>
      <c r="F587" s="5"/>
      <c r="P587" s="33"/>
      <c r="Q587" s="33"/>
      <c r="R587" s="33"/>
      <c r="S587" s="33"/>
      <c r="T587" s="33"/>
    </row>
    <row r="588" spans="2:20" ht="15.75" customHeight="1">
      <c r="B588" s="5"/>
      <c r="C588" s="5"/>
      <c r="D588" s="5"/>
      <c r="E588" s="5"/>
      <c r="F588" s="5"/>
      <c r="P588" s="33"/>
      <c r="Q588" s="33"/>
      <c r="R588" s="33"/>
      <c r="S588" s="33"/>
      <c r="T588" s="33"/>
    </row>
    <row r="589" spans="2:20" ht="15.75" customHeight="1">
      <c r="B589" s="5"/>
      <c r="C589" s="5"/>
      <c r="D589" s="5"/>
      <c r="E589" s="5"/>
      <c r="F589" s="5"/>
      <c r="P589" s="33"/>
      <c r="Q589" s="33"/>
      <c r="R589" s="33"/>
      <c r="S589" s="33"/>
      <c r="T589" s="33"/>
    </row>
    <row r="590" spans="2:20" ht="15.75" customHeight="1">
      <c r="B590" s="5"/>
      <c r="C590" s="5"/>
      <c r="D590" s="5"/>
      <c r="E590" s="5"/>
      <c r="F590" s="5"/>
      <c r="P590" s="33"/>
      <c r="Q590" s="33"/>
      <c r="R590" s="33"/>
      <c r="S590" s="33"/>
      <c r="T590" s="33"/>
    </row>
    <row r="591" spans="2:20" ht="15.75" customHeight="1">
      <c r="B591" s="5"/>
      <c r="C591" s="5"/>
      <c r="D591" s="5"/>
      <c r="E591" s="5"/>
      <c r="F591" s="5"/>
      <c r="P591" s="33"/>
      <c r="Q591" s="33"/>
      <c r="R591" s="33"/>
      <c r="S591" s="33"/>
      <c r="T591" s="33"/>
    </row>
    <row r="592" spans="2:20" ht="15.75" customHeight="1">
      <c r="B592" s="5"/>
      <c r="C592" s="5"/>
      <c r="D592" s="5"/>
      <c r="E592" s="5"/>
      <c r="F592" s="5"/>
      <c r="P592" s="33"/>
      <c r="Q592" s="33"/>
      <c r="R592" s="33"/>
      <c r="S592" s="33"/>
      <c r="T592" s="33"/>
    </row>
    <row r="593" spans="2:20" ht="15.75" customHeight="1">
      <c r="B593" s="5"/>
      <c r="C593" s="5"/>
      <c r="D593" s="5"/>
      <c r="E593" s="5"/>
      <c r="F593" s="5"/>
      <c r="P593" s="33"/>
      <c r="Q593" s="33"/>
      <c r="R593" s="33"/>
      <c r="S593" s="33"/>
      <c r="T593" s="33"/>
    </row>
    <row r="594" spans="2:20" ht="15.75" customHeight="1">
      <c r="B594" s="5"/>
      <c r="C594" s="5"/>
      <c r="D594" s="5"/>
      <c r="E594" s="5"/>
      <c r="F594" s="5"/>
      <c r="P594" s="33"/>
      <c r="Q594" s="33"/>
      <c r="R594" s="33"/>
      <c r="S594" s="33"/>
      <c r="T594" s="33"/>
    </row>
    <row r="595" spans="2:20" ht="15.75" customHeight="1">
      <c r="B595" s="5"/>
      <c r="C595" s="5"/>
      <c r="D595" s="5"/>
      <c r="E595" s="5"/>
      <c r="F595" s="5"/>
      <c r="P595" s="33"/>
      <c r="Q595" s="33"/>
      <c r="R595" s="33"/>
      <c r="S595" s="33"/>
      <c r="T595" s="33"/>
    </row>
    <row r="596" spans="2:20" ht="15.75" customHeight="1">
      <c r="B596" s="5"/>
      <c r="C596" s="5"/>
      <c r="D596" s="5"/>
      <c r="E596" s="5"/>
      <c r="F596" s="5"/>
      <c r="P596" s="33"/>
      <c r="Q596" s="33"/>
      <c r="R596" s="33"/>
      <c r="S596" s="33"/>
      <c r="T596" s="33"/>
    </row>
    <row r="597" spans="2:20" ht="15.75" customHeight="1">
      <c r="B597" s="5"/>
      <c r="C597" s="5"/>
      <c r="D597" s="5"/>
      <c r="E597" s="5"/>
      <c r="F597" s="5"/>
      <c r="P597" s="33"/>
      <c r="Q597" s="33"/>
      <c r="R597" s="33"/>
      <c r="S597" s="33"/>
      <c r="T597" s="33"/>
    </row>
    <row r="598" spans="2:20" ht="15.75" customHeight="1">
      <c r="B598" s="5"/>
      <c r="C598" s="5"/>
      <c r="D598" s="5"/>
      <c r="E598" s="5"/>
      <c r="F598" s="5"/>
      <c r="P598" s="33"/>
      <c r="Q598" s="33"/>
      <c r="R598" s="33"/>
      <c r="S598" s="33"/>
      <c r="T598" s="33"/>
    </row>
    <row r="599" spans="2:20" ht="15.75" customHeight="1">
      <c r="B599" s="5"/>
      <c r="C599" s="5"/>
      <c r="D599" s="5"/>
      <c r="E599" s="5"/>
      <c r="F599" s="5"/>
      <c r="P599" s="33"/>
      <c r="Q599" s="33"/>
      <c r="R599" s="33"/>
      <c r="S599" s="33"/>
      <c r="T599" s="33"/>
    </row>
    <row r="600" spans="2:20" ht="15.75" customHeight="1">
      <c r="B600" s="5"/>
      <c r="C600" s="5"/>
      <c r="D600" s="5"/>
      <c r="E600" s="5"/>
      <c r="F600" s="5"/>
      <c r="P600" s="33"/>
      <c r="Q600" s="33"/>
      <c r="R600" s="33"/>
      <c r="S600" s="33"/>
      <c r="T600" s="33"/>
    </row>
    <row r="601" spans="2:20" ht="15.75" customHeight="1">
      <c r="B601" s="5"/>
      <c r="C601" s="5"/>
      <c r="D601" s="5"/>
      <c r="E601" s="5"/>
      <c r="F601" s="5"/>
      <c r="P601" s="33"/>
      <c r="Q601" s="33"/>
      <c r="R601" s="33"/>
      <c r="S601" s="33"/>
      <c r="T601" s="33"/>
    </row>
    <row r="602" spans="2:20" ht="15.75" customHeight="1">
      <c r="B602" s="5"/>
      <c r="C602" s="5"/>
      <c r="D602" s="5"/>
      <c r="E602" s="5"/>
      <c r="F602" s="5"/>
      <c r="P602" s="33"/>
      <c r="Q602" s="33"/>
      <c r="R602" s="33"/>
      <c r="S602" s="33"/>
      <c r="T602" s="33"/>
    </row>
    <row r="603" spans="2:20" ht="15.75" customHeight="1">
      <c r="B603" s="5"/>
      <c r="C603" s="5"/>
      <c r="D603" s="5"/>
      <c r="E603" s="5"/>
      <c r="F603" s="5"/>
      <c r="P603" s="33"/>
      <c r="Q603" s="33"/>
      <c r="R603" s="33"/>
      <c r="S603" s="33"/>
      <c r="T603" s="33"/>
    </row>
    <row r="604" spans="2:20" ht="15.75" customHeight="1">
      <c r="B604" s="5"/>
      <c r="C604" s="5"/>
      <c r="D604" s="5"/>
      <c r="E604" s="5"/>
      <c r="F604" s="5"/>
      <c r="P604" s="33"/>
      <c r="Q604" s="33"/>
      <c r="R604" s="33"/>
      <c r="S604" s="33"/>
      <c r="T604" s="33"/>
    </row>
    <row r="605" spans="2:20" ht="15.75" customHeight="1">
      <c r="B605" s="5"/>
      <c r="C605" s="5"/>
      <c r="D605" s="5"/>
      <c r="E605" s="5"/>
      <c r="F605" s="5"/>
      <c r="P605" s="33"/>
      <c r="Q605" s="33"/>
      <c r="R605" s="33"/>
      <c r="S605" s="33"/>
      <c r="T605" s="33"/>
    </row>
    <row r="606" spans="2:20" ht="15.75" customHeight="1">
      <c r="B606" s="5"/>
      <c r="C606" s="5"/>
      <c r="D606" s="5"/>
      <c r="E606" s="5"/>
      <c r="F606" s="5"/>
      <c r="P606" s="33"/>
      <c r="Q606" s="33"/>
      <c r="R606" s="33"/>
      <c r="S606" s="33"/>
      <c r="T606" s="33"/>
    </row>
    <row r="607" spans="2:20" ht="15.75" customHeight="1">
      <c r="B607" s="5"/>
      <c r="C607" s="5"/>
      <c r="D607" s="5"/>
      <c r="E607" s="5"/>
      <c r="F607" s="5"/>
      <c r="P607" s="33"/>
      <c r="Q607" s="33"/>
      <c r="R607" s="33"/>
      <c r="S607" s="33"/>
      <c r="T607" s="33"/>
    </row>
    <row r="608" spans="2:20" ht="15.75" customHeight="1">
      <c r="B608" s="5"/>
      <c r="C608" s="5"/>
      <c r="D608" s="5"/>
      <c r="E608" s="5"/>
      <c r="F608" s="5"/>
      <c r="P608" s="33"/>
      <c r="Q608" s="33"/>
      <c r="R608" s="33"/>
      <c r="S608" s="33"/>
      <c r="T608" s="33"/>
    </row>
    <row r="609" spans="2:20" ht="15.75" customHeight="1">
      <c r="B609" s="5"/>
      <c r="C609" s="5"/>
      <c r="D609" s="5"/>
      <c r="E609" s="5"/>
      <c r="F609" s="5"/>
      <c r="P609" s="33"/>
      <c r="Q609" s="33"/>
      <c r="R609" s="33"/>
      <c r="S609" s="33"/>
      <c r="T609" s="33"/>
    </row>
    <row r="610" spans="2:20" ht="15.75" customHeight="1">
      <c r="B610" s="5"/>
      <c r="C610" s="5"/>
      <c r="D610" s="5"/>
      <c r="E610" s="5"/>
      <c r="F610" s="5"/>
      <c r="P610" s="33"/>
      <c r="Q610" s="33"/>
      <c r="R610" s="33"/>
      <c r="S610" s="33"/>
      <c r="T610" s="33"/>
    </row>
    <row r="611" spans="2:20" ht="15.75" customHeight="1">
      <c r="B611" s="5"/>
      <c r="C611" s="5"/>
      <c r="D611" s="5"/>
      <c r="E611" s="5"/>
      <c r="F611" s="5"/>
      <c r="P611" s="33"/>
      <c r="Q611" s="33"/>
      <c r="R611" s="33"/>
      <c r="S611" s="33"/>
      <c r="T611" s="33"/>
    </row>
    <row r="612" spans="2:20" ht="15.75" customHeight="1">
      <c r="B612" s="5"/>
      <c r="C612" s="5"/>
      <c r="D612" s="5"/>
      <c r="E612" s="5"/>
      <c r="F612" s="5"/>
      <c r="P612" s="33"/>
      <c r="Q612" s="33"/>
      <c r="R612" s="33"/>
      <c r="S612" s="33"/>
      <c r="T612" s="33"/>
    </row>
    <row r="613" spans="2:20" ht="15.75" customHeight="1">
      <c r="B613" s="5"/>
      <c r="C613" s="5"/>
      <c r="D613" s="5"/>
      <c r="E613" s="5"/>
      <c r="F613" s="5"/>
      <c r="P613" s="33"/>
      <c r="Q613" s="33"/>
      <c r="R613" s="33"/>
      <c r="S613" s="33"/>
      <c r="T613" s="33"/>
    </row>
    <row r="614" spans="2:20" ht="15.75" customHeight="1">
      <c r="B614" s="5"/>
      <c r="C614" s="5"/>
      <c r="D614" s="5"/>
      <c r="E614" s="5"/>
      <c r="F614" s="5"/>
      <c r="P614" s="33"/>
      <c r="Q614" s="33"/>
      <c r="R614" s="33"/>
      <c r="S614" s="33"/>
      <c r="T614" s="33"/>
    </row>
    <row r="615" spans="2:20" ht="15.75" customHeight="1">
      <c r="B615" s="5"/>
      <c r="C615" s="5"/>
      <c r="D615" s="5"/>
      <c r="E615" s="5"/>
      <c r="F615" s="5"/>
      <c r="P615" s="33"/>
      <c r="Q615" s="33"/>
      <c r="R615" s="33"/>
      <c r="S615" s="33"/>
      <c r="T615" s="33"/>
    </row>
    <row r="616" spans="2:20" ht="15.75" customHeight="1">
      <c r="B616" s="5"/>
      <c r="C616" s="5"/>
      <c r="D616" s="5"/>
      <c r="E616" s="5"/>
      <c r="F616" s="5"/>
      <c r="P616" s="33"/>
      <c r="Q616" s="33"/>
      <c r="R616" s="33"/>
      <c r="S616" s="33"/>
      <c r="T616" s="33"/>
    </row>
    <row r="617" spans="2:20" ht="15.75" customHeight="1">
      <c r="B617" s="5"/>
      <c r="C617" s="5"/>
      <c r="D617" s="5"/>
      <c r="E617" s="5"/>
      <c r="F617" s="5"/>
      <c r="P617" s="33"/>
      <c r="Q617" s="33"/>
      <c r="R617" s="33"/>
      <c r="S617" s="33"/>
      <c r="T617" s="33"/>
    </row>
    <row r="618" spans="2:20" ht="15.75" customHeight="1">
      <c r="B618" s="5"/>
      <c r="C618" s="5"/>
      <c r="D618" s="5"/>
      <c r="E618" s="5"/>
      <c r="F618" s="5"/>
      <c r="P618" s="33"/>
      <c r="Q618" s="33"/>
      <c r="R618" s="33"/>
      <c r="S618" s="33"/>
      <c r="T618" s="33"/>
    </row>
    <row r="619" spans="2:20" ht="15.75" customHeight="1">
      <c r="B619" s="5"/>
      <c r="C619" s="5"/>
      <c r="D619" s="5"/>
      <c r="E619" s="5"/>
      <c r="F619" s="5"/>
      <c r="P619" s="33"/>
      <c r="Q619" s="33"/>
      <c r="R619" s="33"/>
      <c r="S619" s="33"/>
      <c r="T619" s="33"/>
    </row>
    <row r="620" spans="2:20" ht="15.75" customHeight="1">
      <c r="B620" s="5"/>
      <c r="C620" s="5"/>
      <c r="D620" s="5"/>
      <c r="E620" s="5"/>
      <c r="F620" s="5"/>
      <c r="P620" s="33"/>
      <c r="Q620" s="33"/>
      <c r="R620" s="33"/>
      <c r="S620" s="33"/>
      <c r="T620" s="33"/>
    </row>
    <row r="621" spans="2:20" ht="15.75" customHeight="1">
      <c r="B621" s="5"/>
      <c r="C621" s="5"/>
      <c r="D621" s="5"/>
      <c r="E621" s="5"/>
      <c r="F621" s="5"/>
      <c r="P621" s="33"/>
      <c r="Q621" s="33"/>
      <c r="R621" s="33"/>
      <c r="S621" s="33"/>
      <c r="T621" s="33"/>
    </row>
    <row r="622" spans="2:20" ht="15.75" customHeight="1">
      <c r="B622" s="5"/>
      <c r="C622" s="5"/>
      <c r="D622" s="5"/>
      <c r="E622" s="5"/>
      <c r="F622" s="5"/>
      <c r="P622" s="33"/>
      <c r="Q622" s="33"/>
      <c r="R622" s="33"/>
      <c r="S622" s="33"/>
      <c r="T622" s="33"/>
    </row>
    <row r="623" spans="2:20" ht="15.75" customHeight="1">
      <c r="B623" s="5"/>
      <c r="C623" s="5"/>
      <c r="D623" s="5"/>
      <c r="E623" s="5"/>
      <c r="F623" s="5"/>
      <c r="P623" s="33"/>
      <c r="Q623" s="33"/>
      <c r="R623" s="33"/>
      <c r="S623" s="33"/>
      <c r="T623" s="33"/>
    </row>
    <row r="624" spans="2:20" ht="15.75" customHeight="1">
      <c r="B624" s="5"/>
      <c r="C624" s="5"/>
      <c r="D624" s="5"/>
      <c r="E624" s="5"/>
      <c r="F624" s="5"/>
      <c r="P624" s="33"/>
      <c r="Q624" s="33"/>
      <c r="R624" s="33"/>
      <c r="S624" s="33"/>
      <c r="T624" s="33"/>
    </row>
    <row r="625" spans="2:20" ht="15.75" customHeight="1">
      <c r="B625" s="5"/>
      <c r="C625" s="5"/>
      <c r="D625" s="5"/>
      <c r="E625" s="5"/>
      <c r="F625" s="5"/>
      <c r="P625" s="33"/>
      <c r="Q625" s="33"/>
      <c r="R625" s="33"/>
      <c r="S625" s="33"/>
      <c r="T625" s="33"/>
    </row>
    <row r="626" spans="2:20" ht="15.75" customHeight="1">
      <c r="B626" s="5"/>
      <c r="C626" s="5"/>
      <c r="D626" s="5"/>
      <c r="E626" s="5"/>
      <c r="F626" s="5"/>
      <c r="P626" s="33"/>
      <c r="Q626" s="33"/>
      <c r="R626" s="33"/>
      <c r="S626" s="33"/>
      <c r="T626" s="33"/>
    </row>
    <row r="627" spans="2:20" ht="15.75" customHeight="1">
      <c r="B627" s="5"/>
      <c r="C627" s="5"/>
      <c r="D627" s="5"/>
      <c r="E627" s="5"/>
      <c r="F627" s="5"/>
      <c r="P627" s="33"/>
      <c r="Q627" s="33"/>
      <c r="R627" s="33"/>
      <c r="S627" s="33"/>
      <c r="T627" s="33"/>
    </row>
    <row r="628" spans="2:20" ht="15.75" customHeight="1">
      <c r="B628" s="5"/>
      <c r="C628" s="5"/>
      <c r="D628" s="5"/>
      <c r="E628" s="5"/>
      <c r="F628" s="5"/>
      <c r="P628" s="33"/>
      <c r="Q628" s="33"/>
      <c r="R628" s="33"/>
      <c r="S628" s="33"/>
      <c r="T628" s="33"/>
    </row>
    <row r="629" spans="2:20" ht="15.75" customHeight="1">
      <c r="B629" s="5"/>
      <c r="C629" s="5"/>
      <c r="D629" s="5"/>
      <c r="E629" s="5"/>
      <c r="F629" s="5"/>
      <c r="P629" s="33"/>
      <c r="Q629" s="33"/>
      <c r="R629" s="33"/>
      <c r="S629" s="33"/>
      <c r="T629" s="33"/>
    </row>
    <row r="630" spans="2:20" ht="15.75" customHeight="1">
      <c r="B630" s="5"/>
      <c r="C630" s="5"/>
      <c r="D630" s="5"/>
      <c r="E630" s="5"/>
      <c r="F630" s="5"/>
      <c r="P630" s="33"/>
      <c r="Q630" s="33"/>
      <c r="R630" s="33"/>
      <c r="S630" s="33"/>
      <c r="T630" s="33"/>
    </row>
    <row r="631" spans="2:20" ht="15.75" customHeight="1">
      <c r="B631" s="5"/>
      <c r="C631" s="5"/>
      <c r="D631" s="5"/>
      <c r="E631" s="5"/>
      <c r="F631" s="5"/>
      <c r="P631" s="33"/>
      <c r="Q631" s="33"/>
      <c r="R631" s="33"/>
      <c r="S631" s="33"/>
      <c r="T631" s="33"/>
    </row>
    <row r="632" spans="2:20" ht="15.75" customHeight="1">
      <c r="B632" s="5"/>
      <c r="C632" s="5"/>
      <c r="D632" s="5"/>
      <c r="E632" s="5"/>
      <c r="F632" s="5"/>
      <c r="P632" s="33"/>
      <c r="Q632" s="33"/>
      <c r="R632" s="33"/>
      <c r="S632" s="33"/>
      <c r="T632" s="33"/>
    </row>
    <row r="633" spans="2:20" ht="15.75" customHeight="1">
      <c r="B633" s="5"/>
      <c r="C633" s="5"/>
      <c r="D633" s="5"/>
      <c r="E633" s="5"/>
      <c r="F633" s="5"/>
      <c r="P633" s="33"/>
      <c r="Q633" s="33"/>
      <c r="R633" s="33"/>
      <c r="S633" s="33"/>
      <c r="T633" s="33"/>
    </row>
    <row r="634" spans="2:20" ht="15.75" customHeight="1">
      <c r="B634" s="5"/>
      <c r="C634" s="5"/>
      <c r="D634" s="5"/>
      <c r="E634" s="5"/>
      <c r="F634" s="5"/>
      <c r="P634" s="33"/>
      <c r="Q634" s="33"/>
      <c r="R634" s="33"/>
      <c r="S634" s="33"/>
      <c r="T634" s="33"/>
    </row>
    <row r="635" spans="2:20" ht="15.75" customHeight="1">
      <c r="B635" s="5"/>
      <c r="C635" s="5"/>
      <c r="D635" s="5"/>
      <c r="E635" s="5"/>
      <c r="F635" s="5"/>
      <c r="P635" s="33"/>
      <c r="Q635" s="33"/>
      <c r="R635" s="33"/>
      <c r="S635" s="33"/>
      <c r="T635" s="33"/>
    </row>
    <row r="636" spans="2:20" ht="15.75" customHeight="1">
      <c r="B636" s="5"/>
      <c r="C636" s="5"/>
      <c r="D636" s="5"/>
      <c r="E636" s="5"/>
      <c r="F636" s="5"/>
      <c r="P636" s="33"/>
      <c r="Q636" s="33"/>
      <c r="R636" s="33"/>
      <c r="S636" s="33"/>
      <c r="T636" s="33"/>
    </row>
    <row r="637" spans="2:20" ht="15.75" customHeight="1">
      <c r="B637" s="5"/>
      <c r="C637" s="5"/>
      <c r="D637" s="5"/>
      <c r="E637" s="5"/>
      <c r="F637" s="5"/>
      <c r="P637" s="33"/>
      <c r="Q637" s="33"/>
      <c r="R637" s="33"/>
      <c r="S637" s="33"/>
      <c r="T637" s="33"/>
    </row>
    <row r="638" spans="2:20" ht="15.75" customHeight="1">
      <c r="B638" s="5"/>
      <c r="C638" s="5"/>
      <c r="D638" s="5"/>
      <c r="E638" s="5"/>
      <c r="F638" s="5"/>
      <c r="P638" s="33"/>
      <c r="Q638" s="33"/>
      <c r="R638" s="33"/>
      <c r="S638" s="33"/>
      <c r="T638" s="33"/>
    </row>
    <row r="639" spans="2:20" ht="15.75" customHeight="1">
      <c r="B639" s="5"/>
      <c r="C639" s="5"/>
      <c r="D639" s="5"/>
      <c r="E639" s="5"/>
      <c r="F639" s="5"/>
      <c r="P639" s="33"/>
      <c r="Q639" s="33"/>
      <c r="R639" s="33"/>
      <c r="S639" s="33"/>
      <c r="T639" s="33"/>
    </row>
    <row r="640" spans="2:20" ht="15.75" customHeight="1">
      <c r="B640" s="5"/>
      <c r="C640" s="5"/>
      <c r="D640" s="5"/>
      <c r="E640" s="5"/>
      <c r="F640" s="5"/>
      <c r="P640" s="33"/>
      <c r="Q640" s="33"/>
      <c r="R640" s="33"/>
      <c r="S640" s="33"/>
      <c r="T640" s="33"/>
    </row>
    <row r="641" spans="2:20" ht="15.75" customHeight="1">
      <c r="B641" s="5"/>
      <c r="C641" s="5"/>
      <c r="D641" s="5"/>
      <c r="E641" s="5"/>
      <c r="F641" s="5"/>
      <c r="P641" s="33"/>
      <c r="Q641" s="33"/>
      <c r="R641" s="33"/>
      <c r="S641" s="33"/>
      <c r="T641" s="33"/>
    </row>
    <row r="642" spans="2:20" ht="15.75" customHeight="1">
      <c r="B642" s="5"/>
      <c r="C642" s="5"/>
      <c r="D642" s="5"/>
      <c r="E642" s="5"/>
      <c r="F642" s="5"/>
      <c r="P642" s="33"/>
      <c r="Q642" s="33"/>
      <c r="R642" s="33"/>
      <c r="S642" s="33"/>
      <c r="T642" s="33"/>
    </row>
    <row r="643" spans="2:20" ht="15.75" customHeight="1">
      <c r="B643" s="5"/>
      <c r="C643" s="5"/>
      <c r="D643" s="5"/>
      <c r="E643" s="5"/>
      <c r="F643" s="5"/>
      <c r="P643" s="33"/>
      <c r="Q643" s="33"/>
      <c r="R643" s="33"/>
      <c r="S643" s="33"/>
      <c r="T643" s="33"/>
    </row>
    <row r="644" spans="2:20" ht="15.75" customHeight="1">
      <c r="B644" s="5"/>
      <c r="C644" s="5"/>
      <c r="D644" s="5"/>
      <c r="E644" s="5"/>
      <c r="F644" s="5"/>
      <c r="P644" s="33"/>
      <c r="Q644" s="33"/>
      <c r="R644" s="33"/>
      <c r="S644" s="33"/>
      <c r="T644" s="33"/>
    </row>
    <row r="645" spans="2:20" ht="15.75" customHeight="1">
      <c r="B645" s="5"/>
      <c r="C645" s="5"/>
      <c r="D645" s="5"/>
      <c r="E645" s="5"/>
      <c r="F645" s="5"/>
      <c r="P645" s="33"/>
      <c r="Q645" s="33"/>
      <c r="R645" s="33"/>
      <c r="S645" s="33"/>
      <c r="T645" s="33"/>
    </row>
    <row r="646" spans="2:20" ht="15.75" customHeight="1">
      <c r="B646" s="5"/>
      <c r="C646" s="5"/>
      <c r="D646" s="5"/>
      <c r="E646" s="5"/>
      <c r="F646" s="5"/>
      <c r="P646" s="33"/>
      <c r="Q646" s="33"/>
      <c r="R646" s="33"/>
      <c r="S646" s="33"/>
      <c r="T646" s="33"/>
    </row>
    <row r="647" spans="2:20" ht="15.75" customHeight="1">
      <c r="B647" s="5"/>
      <c r="C647" s="5"/>
      <c r="D647" s="5"/>
      <c r="E647" s="5"/>
      <c r="F647" s="5"/>
      <c r="P647" s="33"/>
      <c r="Q647" s="33"/>
      <c r="R647" s="33"/>
      <c r="S647" s="33"/>
      <c r="T647" s="33"/>
    </row>
    <row r="648" spans="2:20" ht="15.75" customHeight="1">
      <c r="B648" s="5"/>
      <c r="C648" s="5"/>
      <c r="D648" s="5"/>
      <c r="E648" s="5"/>
      <c r="F648" s="5"/>
      <c r="P648" s="33"/>
      <c r="Q648" s="33"/>
      <c r="R648" s="33"/>
      <c r="S648" s="33"/>
      <c r="T648" s="33"/>
    </row>
    <row r="649" spans="2:20" ht="15.75" customHeight="1">
      <c r="B649" s="5"/>
      <c r="C649" s="5"/>
      <c r="D649" s="5"/>
      <c r="E649" s="5"/>
      <c r="F649" s="5"/>
      <c r="P649" s="33"/>
      <c r="Q649" s="33"/>
      <c r="R649" s="33"/>
      <c r="S649" s="33"/>
      <c r="T649" s="33"/>
    </row>
    <row r="650" spans="2:20" ht="15.75" customHeight="1">
      <c r="B650" s="5"/>
      <c r="C650" s="5"/>
      <c r="D650" s="5"/>
      <c r="E650" s="5"/>
      <c r="F650" s="5"/>
      <c r="P650" s="33"/>
      <c r="Q650" s="33"/>
      <c r="R650" s="33"/>
      <c r="S650" s="33"/>
      <c r="T650" s="33"/>
    </row>
    <row r="651" spans="2:20" ht="15.75" customHeight="1">
      <c r="B651" s="5"/>
      <c r="C651" s="5"/>
      <c r="D651" s="5"/>
      <c r="E651" s="5"/>
      <c r="F651" s="5"/>
      <c r="P651" s="33"/>
      <c r="Q651" s="33"/>
      <c r="R651" s="33"/>
      <c r="S651" s="33"/>
      <c r="T651" s="33"/>
    </row>
    <row r="652" spans="2:20" ht="15.75" customHeight="1">
      <c r="B652" s="5"/>
      <c r="C652" s="5"/>
      <c r="D652" s="5"/>
      <c r="E652" s="5"/>
      <c r="F652" s="5"/>
      <c r="P652" s="33"/>
      <c r="Q652" s="33"/>
      <c r="R652" s="33"/>
      <c r="S652" s="33"/>
      <c r="T652" s="33"/>
    </row>
    <row r="653" spans="2:20" ht="15.75" customHeight="1">
      <c r="B653" s="5"/>
      <c r="C653" s="5"/>
      <c r="D653" s="5"/>
      <c r="E653" s="5"/>
      <c r="F653" s="5"/>
      <c r="P653" s="33"/>
      <c r="Q653" s="33"/>
      <c r="R653" s="33"/>
      <c r="S653" s="33"/>
      <c r="T653" s="33"/>
    </row>
    <row r="654" spans="2:20" ht="15.75" customHeight="1">
      <c r="B654" s="5"/>
      <c r="C654" s="5"/>
      <c r="D654" s="5"/>
      <c r="E654" s="5"/>
      <c r="F654" s="5"/>
      <c r="P654" s="33"/>
      <c r="Q654" s="33"/>
      <c r="R654" s="33"/>
      <c r="S654" s="33"/>
      <c r="T654" s="33"/>
    </row>
    <row r="655" spans="2:20" ht="15.75" customHeight="1">
      <c r="B655" s="5"/>
      <c r="C655" s="5"/>
      <c r="D655" s="5"/>
      <c r="E655" s="5"/>
      <c r="F655" s="5"/>
      <c r="P655" s="33"/>
      <c r="Q655" s="33"/>
      <c r="R655" s="33"/>
      <c r="S655" s="33"/>
      <c r="T655" s="33"/>
    </row>
    <row r="656" spans="2:20" ht="15.75" customHeight="1">
      <c r="B656" s="5"/>
      <c r="C656" s="5"/>
      <c r="D656" s="5"/>
      <c r="E656" s="5"/>
      <c r="F656" s="5"/>
      <c r="P656" s="33"/>
      <c r="Q656" s="33"/>
      <c r="R656" s="33"/>
      <c r="S656" s="33"/>
      <c r="T656" s="33"/>
    </row>
    <row r="657" spans="2:20" ht="15.75" customHeight="1">
      <c r="B657" s="5"/>
      <c r="C657" s="5"/>
      <c r="D657" s="5"/>
      <c r="E657" s="5"/>
      <c r="F657" s="5"/>
      <c r="P657" s="33"/>
      <c r="Q657" s="33"/>
      <c r="R657" s="33"/>
      <c r="S657" s="33"/>
      <c r="T657" s="33"/>
    </row>
    <row r="658" spans="2:20" ht="15.75" customHeight="1">
      <c r="B658" s="5"/>
      <c r="C658" s="5"/>
      <c r="D658" s="5"/>
      <c r="E658" s="5"/>
      <c r="F658" s="5"/>
      <c r="P658" s="33"/>
      <c r="Q658" s="33"/>
      <c r="R658" s="33"/>
      <c r="S658" s="33"/>
      <c r="T658" s="33"/>
    </row>
    <row r="659" spans="2:20" ht="15.75" customHeight="1">
      <c r="B659" s="5"/>
      <c r="C659" s="5"/>
      <c r="D659" s="5"/>
      <c r="E659" s="5"/>
      <c r="F659" s="5"/>
      <c r="P659" s="33"/>
      <c r="Q659" s="33"/>
      <c r="R659" s="33"/>
      <c r="S659" s="33"/>
      <c r="T659" s="33"/>
    </row>
    <row r="660" spans="2:20" ht="15.75" customHeight="1">
      <c r="B660" s="5"/>
      <c r="C660" s="5"/>
      <c r="D660" s="5"/>
      <c r="E660" s="5"/>
      <c r="F660" s="5"/>
      <c r="P660" s="33"/>
      <c r="Q660" s="33"/>
      <c r="R660" s="33"/>
      <c r="S660" s="33"/>
      <c r="T660" s="33"/>
    </row>
    <row r="661" spans="2:20" ht="15.75" customHeight="1">
      <c r="B661" s="5"/>
      <c r="C661" s="5"/>
      <c r="D661" s="5"/>
      <c r="E661" s="5"/>
      <c r="F661" s="5"/>
      <c r="P661" s="33"/>
      <c r="Q661" s="33"/>
      <c r="R661" s="33"/>
      <c r="S661" s="33"/>
      <c r="T661" s="33"/>
    </row>
    <row r="662" spans="2:20" ht="15.75" customHeight="1">
      <c r="B662" s="5"/>
      <c r="C662" s="5"/>
      <c r="D662" s="5"/>
      <c r="E662" s="5"/>
      <c r="F662" s="5"/>
      <c r="P662" s="33"/>
      <c r="Q662" s="33"/>
      <c r="R662" s="33"/>
      <c r="S662" s="33"/>
      <c r="T662" s="33"/>
    </row>
    <row r="663" spans="2:20" ht="15.75" customHeight="1">
      <c r="B663" s="5"/>
      <c r="C663" s="5"/>
      <c r="D663" s="5"/>
      <c r="E663" s="5"/>
      <c r="F663" s="5"/>
      <c r="P663" s="33"/>
      <c r="Q663" s="33"/>
      <c r="R663" s="33"/>
      <c r="S663" s="33"/>
      <c r="T663" s="33"/>
    </row>
    <row r="664" spans="2:20" ht="15.75" customHeight="1">
      <c r="B664" s="5"/>
      <c r="C664" s="5"/>
      <c r="D664" s="5"/>
      <c r="E664" s="5"/>
      <c r="F664" s="5"/>
      <c r="P664" s="33"/>
      <c r="Q664" s="33"/>
      <c r="R664" s="33"/>
      <c r="S664" s="33"/>
      <c r="T664" s="33"/>
    </row>
    <row r="665" spans="2:20" ht="15.75" customHeight="1">
      <c r="B665" s="5"/>
      <c r="C665" s="5"/>
      <c r="D665" s="5"/>
      <c r="E665" s="5"/>
      <c r="F665" s="5"/>
      <c r="P665" s="33"/>
      <c r="Q665" s="33"/>
      <c r="R665" s="33"/>
      <c r="S665" s="33"/>
      <c r="T665" s="33"/>
    </row>
    <row r="666" spans="2:20" ht="15.75" customHeight="1">
      <c r="B666" s="5"/>
      <c r="C666" s="5"/>
      <c r="D666" s="5"/>
      <c r="E666" s="5"/>
      <c r="F666" s="5"/>
      <c r="P666" s="33"/>
      <c r="Q666" s="33"/>
      <c r="R666" s="33"/>
      <c r="S666" s="33"/>
      <c r="T666" s="33"/>
    </row>
    <row r="667" spans="2:20" ht="15.75" customHeight="1">
      <c r="B667" s="5"/>
      <c r="C667" s="5"/>
      <c r="D667" s="5"/>
      <c r="E667" s="5"/>
      <c r="F667" s="5"/>
      <c r="P667" s="33"/>
      <c r="Q667" s="33"/>
      <c r="R667" s="33"/>
      <c r="S667" s="33"/>
      <c r="T667" s="33"/>
    </row>
    <row r="668" spans="2:20" ht="15.75" customHeight="1">
      <c r="B668" s="5"/>
      <c r="C668" s="5"/>
      <c r="D668" s="5"/>
      <c r="E668" s="5"/>
      <c r="F668" s="5"/>
      <c r="P668" s="33"/>
      <c r="Q668" s="33"/>
      <c r="R668" s="33"/>
      <c r="S668" s="33"/>
      <c r="T668" s="33"/>
    </row>
    <row r="669" spans="2:20" ht="15.75" customHeight="1">
      <c r="B669" s="5"/>
      <c r="C669" s="5"/>
      <c r="D669" s="5"/>
      <c r="E669" s="5"/>
      <c r="F669" s="5"/>
      <c r="P669" s="33"/>
      <c r="Q669" s="33"/>
      <c r="R669" s="33"/>
      <c r="S669" s="33"/>
      <c r="T669" s="33"/>
    </row>
    <row r="670" spans="2:20" ht="15.75" customHeight="1">
      <c r="B670" s="5"/>
      <c r="C670" s="5"/>
      <c r="D670" s="5"/>
      <c r="E670" s="5"/>
      <c r="F670" s="5"/>
      <c r="P670" s="33"/>
      <c r="Q670" s="33"/>
      <c r="R670" s="33"/>
      <c r="S670" s="33"/>
      <c r="T670" s="33"/>
    </row>
    <row r="671" spans="2:20" ht="15.75" customHeight="1">
      <c r="B671" s="5"/>
      <c r="C671" s="5"/>
      <c r="D671" s="5"/>
      <c r="E671" s="5"/>
      <c r="F671" s="5"/>
      <c r="P671" s="33"/>
      <c r="Q671" s="33"/>
      <c r="R671" s="33"/>
      <c r="S671" s="33"/>
      <c r="T671" s="33"/>
    </row>
    <row r="672" spans="2:20" ht="15.75" customHeight="1">
      <c r="B672" s="5"/>
      <c r="C672" s="5"/>
      <c r="D672" s="5"/>
      <c r="E672" s="5"/>
      <c r="F672" s="5"/>
      <c r="P672" s="33"/>
      <c r="Q672" s="33"/>
      <c r="R672" s="33"/>
      <c r="S672" s="33"/>
      <c r="T672" s="33"/>
    </row>
    <row r="673" spans="2:20" ht="15.75" customHeight="1">
      <c r="B673" s="5"/>
      <c r="C673" s="5"/>
      <c r="D673" s="5"/>
      <c r="E673" s="5"/>
      <c r="F673" s="5"/>
      <c r="P673" s="33"/>
      <c r="Q673" s="33"/>
      <c r="R673" s="33"/>
      <c r="S673" s="33"/>
      <c r="T673" s="33"/>
    </row>
    <row r="674" spans="2:20" ht="15.75" customHeight="1">
      <c r="B674" s="5"/>
      <c r="C674" s="5"/>
      <c r="D674" s="5"/>
      <c r="E674" s="5"/>
      <c r="F674" s="5"/>
      <c r="P674" s="33"/>
      <c r="Q674" s="33"/>
      <c r="R674" s="33"/>
      <c r="S674" s="33"/>
      <c r="T674" s="33"/>
    </row>
    <row r="675" spans="2:20" ht="15.75" customHeight="1">
      <c r="B675" s="5"/>
      <c r="C675" s="5"/>
      <c r="D675" s="5"/>
      <c r="E675" s="5"/>
      <c r="F675" s="5"/>
      <c r="P675" s="33"/>
      <c r="Q675" s="33"/>
      <c r="R675" s="33"/>
      <c r="S675" s="33"/>
      <c r="T675" s="33"/>
    </row>
    <row r="676" spans="2:20" ht="15.75" customHeight="1">
      <c r="B676" s="5"/>
      <c r="C676" s="5"/>
      <c r="D676" s="5"/>
      <c r="E676" s="5"/>
      <c r="F676" s="5"/>
      <c r="P676" s="33"/>
      <c r="Q676" s="33"/>
      <c r="R676" s="33"/>
      <c r="S676" s="33"/>
      <c r="T676" s="33"/>
    </row>
    <row r="677" spans="2:20" ht="15.75" customHeight="1">
      <c r="B677" s="5"/>
      <c r="C677" s="5"/>
      <c r="D677" s="5"/>
      <c r="E677" s="5"/>
      <c r="F677" s="5"/>
      <c r="P677" s="33"/>
      <c r="Q677" s="33"/>
      <c r="R677" s="33"/>
      <c r="S677" s="33"/>
      <c r="T677" s="33"/>
    </row>
    <row r="678" spans="2:20" ht="15.75" customHeight="1">
      <c r="B678" s="5"/>
      <c r="C678" s="5"/>
      <c r="D678" s="5"/>
      <c r="E678" s="5"/>
      <c r="F678" s="5"/>
      <c r="P678" s="33"/>
      <c r="Q678" s="33"/>
      <c r="R678" s="33"/>
      <c r="S678" s="33"/>
      <c r="T678" s="33"/>
    </row>
    <row r="679" spans="2:20" ht="15.75" customHeight="1">
      <c r="B679" s="5"/>
      <c r="C679" s="5"/>
      <c r="D679" s="5"/>
      <c r="E679" s="5"/>
      <c r="F679" s="5"/>
      <c r="P679" s="33"/>
      <c r="Q679" s="33"/>
      <c r="R679" s="33"/>
      <c r="S679" s="33"/>
      <c r="T679" s="33"/>
    </row>
    <row r="680" spans="2:20" ht="15.75" customHeight="1">
      <c r="B680" s="5"/>
      <c r="C680" s="5"/>
      <c r="D680" s="5"/>
      <c r="E680" s="5"/>
      <c r="F680" s="5"/>
      <c r="P680" s="33"/>
      <c r="Q680" s="33"/>
      <c r="R680" s="33"/>
      <c r="S680" s="33"/>
      <c r="T680" s="33"/>
    </row>
    <row r="681" spans="2:20" ht="15.75" customHeight="1">
      <c r="B681" s="5"/>
      <c r="C681" s="5"/>
      <c r="D681" s="5"/>
      <c r="E681" s="5"/>
      <c r="F681" s="5"/>
      <c r="P681" s="33"/>
      <c r="Q681" s="33"/>
      <c r="R681" s="33"/>
      <c r="S681" s="33"/>
      <c r="T681" s="33"/>
    </row>
    <row r="682" spans="2:20" ht="15.75" customHeight="1">
      <c r="B682" s="5"/>
      <c r="C682" s="5"/>
      <c r="D682" s="5"/>
      <c r="E682" s="5"/>
      <c r="F682" s="5"/>
      <c r="P682" s="33"/>
      <c r="Q682" s="33"/>
      <c r="R682" s="33"/>
      <c r="S682" s="33"/>
      <c r="T682" s="33"/>
    </row>
    <row r="683" spans="2:20" ht="15.75" customHeight="1">
      <c r="B683" s="5"/>
      <c r="C683" s="5"/>
      <c r="D683" s="5"/>
      <c r="E683" s="5"/>
      <c r="F683" s="5"/>
      <c r="P683" s="33"/>
      <c r="Q683" s="33"/>
      <c r="R683" s="33"/>
      <c r="S683" s="33"/>
      <c r="T683" s="33"/>
    </row>
    <row r="684" spans="2:20" ht="15.75" customHeight="1">
      <c r="B684" s="5"/>
      <c r="C684" s="5"/>
      <c r="D684" s="5"/>
      <c r="E684" s="5"/>
      <c r="F684" s="5"/>
      <c r="P684" s="33"/>
      <c r="Q684" s="33"/>
      <c r="R684" s="33"/>
      <c r="S684" s="33"/>
      <c r="T684" s="33"/>
    </row>
    <row r="685" spans="2:20" ht="15.75" customHeight="1">
      <c r="B685" s="5"/>
      <c r="C685" s="5"/>
      <c r="D685" s="5"/>
      <c r="E685" s="5"/>
      <c r="F685" s="5"/>
      <c r="P685" s="33"/>
      <c r="Q685" s="33"/>
      <c r="R685" s="33"/>
      <c r="S685" s="33"/>
      <c r="T685" s="33"/>
    </row>
    <row r="686" spans="2:20" ht="15.75" customHeight="1">
      <c r="B686" s="5"/>
      <c r="C686" s="5"/>
      <c r="D686" s="5"/>
      <c r="E686" s="5"/>
      <c r="F686" s="5"/>
      <c r="P686" s="33"/>
      <c r="Q686" s="33"/>
      <c r="R686" s="33"/>
      <c r="S686" s="33"/>
      <c r="T686" s="33"/>
    </row>
    <row r="687" spans="2:20" ht="15.75" customHeight="1">
      <c r="B687" s="5"/>
      <c r="C687" s="5"/>
      <c r="D687" s="5"/>
      <c r="E687" s="5"/>
      <c r="F687" s="5"/>
      <c r="P687" s="33"/>
      <c r="Q687" s="33"/>
      <c r="R687" s="33"/>
      <c r="S687" s="33"/>
      <c r="T687" s="33"/>
    </row>
    <row r="688" spans="2:20" ht="15.75" customHeight="1">
      <c r="B688" s="5"/>
      <c r="C688" s="5"/>
      <c r="D688" s="5"/>
      <c r="E688" s="5"/>
      <c r="F688" s="5"/>
      <c r="P688" s="33"/>
      <c r="Q688" s="33"/>
      <c r="R688" s="33"/>
      <c r="S688" s="33"/>
      <c r="T688" s="33"/>
    </row>
    <row r="689" spans="2:20" ht="15.75" customHeight="1">
      <c r="B689" s="5"/>
      <c r="C689" s="5"/>
      <c r="D689" s="5"/>
      <c r="E689" s="5"/>
      <c r="F689" s="5"/>
      <c r="P689" s="33"/>
      <c r="Q689" s="33"/>
      <c r="R689" s="33"/>
      <c r="S689" s="33"/>
      <c r="T689" s="33"/>
    </row>
    <row r="690" spans="2:20" ht="15.75" customHeight="1">
      <c r="B690" s="5"/>
      <c r="C690" s="5"/>
      <c r="D690" s="5"/>
      <c r="E690" s="5"/>
      <c r="F690" s="5"/>
      <c r="P690" s="33"/>
      <c r="Q690" s="33"/>
      <c r="R690" s="33"/>
      <c r="S690" s="33"/>
      <c r="T690" s="33"/>
    </row>
    <row r="691" spans="2:20" ht="15.75" customHeight="1">
      <c r="B691" s="5"/>
      <c r="C691" s="5"/>
      <c r="D691" s="5"/>
      <c r="E691" s="5"/>
      <c r="F691" s="5"/>
      <c r="P691" s="33"/>
      <c r="Q691" s="33"/>
      <c r="R691" s="33"/>
      <c r="S691" s="33"/>
      <c r="T691" s="33"/>
    </row>
    <row r="692" spans="2:20" ht="15.75" customHeight="1">
      <c r="B692" s="5"/>
      <c r="C692" s="5"/>
      <c r="D692" s="5"/>
      <c r="E692" s="5"/>
      <c r="F692" s="5"/>
      <c r="P692" s="33"/>
      <c r="Q692" s="33"/>
      <c r="R692" s="33"/>
      <c r="S692" s="33"/>
      <c r="T692" s="33"/>
    </row>
    <row r="693" spans="2:20" ht="15.75" customHeight="1">
      <c r="B693" s="5"/>
      <c r="C693" s="5"/>
      <c r="D693" s="5"/>
      <c r="E693" s="5"/>
      <c r="F693" s="5"/>
      <c r="P693" s="33"/>
      <c r="Q693" s="33"/>
      <c r="R693" s="33"/>
      <c r="S693" s="33"/>
      <c r="T693" s="33"/>
    </row>
    <row r="694" spans="2:20" ht="15.75" customHeight="1">
      <c r="B694" s="5"/>
      <c r="C694" s="5"/>
      <c r="D694" s="5"/>
      <c r="E694" s="5"/>
      <c r="F694" s="5"/>
      <c r="P694" s="33"/>
      <c r="Q694" s="33"/>
      <c r="R694" s="33"/>
      <c r="S694" s="33"/>
      <c r="T694" s="33"/>
    </row>
    <row r="695" spans="2:20" ht="15.75" customHeight="1">
      <c r="B695" s="5"/>
      <c r="C695" s="5"/>
      <c r="D695" s="5"/>
      <c r="E695" s="5"/>
      <c r="F695" s="5"/>
      <c r="P695" s="33"/>
      <c r="Q695" s="33"/>
      <c r="R695" s="33"/>
      <c r="S695" s="33"/>
      <c r="T695" s="33"/>
    </row>
    <row r="696" spans="2:20" ht="15.75" customHeight="1">
      <c r="B696" s="5"/>
      <c r="C696" s="5"/>
      <c r="D696" s="5"/>
      <c r="E696" s="5"/>
      <c r="F696" s="5"/>
      <c r="P696" s="33"/>
      <c r="Q696" s="33"/>
      <c r="R696" s="33"/>
      <c r="S696" s="33"/>
      <c r="T696" s="33"/>
    </row>
    <row r="697" spans="2:20" ht="15.75" customHeight="1">
      <c r="B697" s="5"/>
      <c r="C697" s="5"/>
      <c r="D697" s="5"/>
      <c r="E697" s="5"/>
      <c r="F697" s="5"/>
      <c r="P697" s="33"/>
      <c r="Q697" s="33"/>
      <c r="R697" s="33"/>
      <c r="S697" s="33"/>
      <c r="T697" s="33"/>
    </row>
    <row r="698" spans="2:20" ht="15.75" customHeight="1">
      <c r="B698" s="5"/>
      <c r="C698" s="5"/>
      <c r="D698" s="5"/>
      <c r="E698" s="5"/>
      <c r="F698" s="5"/>
      <c r="P698" s="33"/>
      <c r="Q698" s="33"/>
      <c r="R698" s="33"/>
      <c r="S698" s="33"/>
      <c r="T698" s="33"/>
    </row>
    <row r="699" spans="2:20" ht="15.75" customHeight="1">
      <c r="B699" s="5"/>
      <c r="C699" s="5"/>
      <c r="D699" s="5"/>
      <c r="E699" s="5"/>
      <c r="F699" s="5"/>
      <c r="P699" s="33"/>
      <c r="Q699" s="33"/>
      <c r="R699" s="33"/>
      <c r="S699" s="33"/>
      <c r="T699" s="33"/>
    </row>
    <row r="700" spans="2:20" ht="15.75" customHeight="1">
      <c r="B700" s="5"/>
      <c r="C700" s="5"/>
      <c r="D700" s="5"/>
      <c r="E700" s="5"/>
      <c r="F700" s="5"/>
      <c r="P700" s="33"/>
      <c r="Q700" s="33"/>
      <c r="R700" s="33"/>
      <c r="S700" s="33"/>
      <c r="T700" s="33"/>
    </row>
    <row r="701" spans="2:20" ht="15.75" customHeight="1">
      <c r="B701" s="5"/>
      <c r="C701" s="5"/>
      <c r="D701" s="5"/>
      <c r="E701" s="5"/>
      <c r="F701" s="5"/>
      <c r="P701" s="33"/>
      <c r="Q701" s="33"/>
      <c r="R701" s="33"/>
      <c r="S701" s="33"/>
      <c r="T701" s="33"/>
    </row>
    <row r="702" spans="2:20" ht="15.75" customHeight="1">
      <c r="B702" s="5"/>
      <c r="C702" s="5"/>
      <c r="D702" s="5"/>
      <c r="E702" s="5"/>
      <c r="F702" s="5"/>
      <c r="P702" s="33"/>
      <c r="Q702" s="33"/>
      <c r="R702" s="33"/>
      <c r="S702" s="33"/>
      <c r="T702" s="33"/>
    </row>
    <row r="703" spans="2:20" ht="15.75" customHeight="1">
      <c r="B703" s="5"/>
      <c r="C703" s="5"/>
      <c r="D703" s="5"/>
      <c r="E703" s="5"/>
      <c r="F703" s="5"/>
      <c r="P703" s="33"/>
      <c r="Q703" s="33"/>
      <c r="R703" s="33"/>
      <c r="S703" s="33"/>
      <c r="T703" s="33"/>
    </row>
    <row r="704" spans="2:20" ht="15.75" customHeight="1">
      <c r="B704" s="5"/>
      <c r="C704" s="5"/>
      <c r="D704" s="5"/>
      <c r="E704" s="5"/>
      <c r="F704" s="5"/>
      <c r="P704" s="33"/>
      <c r="Q704" s="33"/>
      <c r="R704" s="33"/>
      <c r="S704" s="33"/>
      <c r="T704" s="33"/>
    </row>
    <row r="705" spans="2:20" ht="15.75" customHeight="1">
      <c r="B705" s="5"/>
      <c r="C705" s="5"/>
      <c r="D705" s="5"/>
      <c r="E705" s="5"/>
      <c r="F705" s="5"/>
      <c r="P705" s="33"/>
      <c r="Q705" s="33"/>
      <c r="R705" s="33"/>
      <c r="S705" s="33"/>
      <c r="T705" s="33"/>
    </row>
    <row r="706" spans="2:20" ht="15.75" customHeight="1">
      <c r="B706" s="5"/>
      <c r="C706" s="5"/>
      <c r="D706" s="5"/>
      <c r="E706" s="5"/>
      <c r="F706" s="5"/>
      <c r="P706" s="33"/>
      <c r="Q706" s="33"/>
      <c r="R706" s="33"/>
      <c r="S706" s="33"/>
      <c r="T706" s="33"/>
    </row>
    <row r="707" spans="2:20" ht="15.75" customHeight="1">
      <c r="B707" s="5"/>
      <c r="C707" s="5"/>
      <c r="D707" s="5"/>
      <c r="E707" s="5"/>
      <c r="F707" s="5"/>
      <c r="P707" s="33"/>
      <c r="Q707" s="33"/>
      <c r="R707" s="33"/>
      <c r="S707" s="33"/>
      <c r="T707" s="33"/>
    </row>
    <row r="708" spans="2:20" ht="15.75" customHeight="1">
      <c r="B708" s="5"/>
      <c r="C708" s="5"/>
      <c r="D708" s="5"/>
      <c r="E708" s="5"/>
      <c r="F708" s="5"/>
      <c r="P708" s="33"/>
      <c r="Q708" s="33"/>
      <c r="R708" s="33"/>
      <c r="S708" s="33"/>
      <c r="T708" s="33"/>
    </row>
    <row r="709" spans="2:20" ht="15.75" customHeight="1">
      <c r="B709" s="5"/>
      <c r="C709" s="5"/>
      <c r="D709" s="5"/>
      <c r="E709" s="5"/>
      <c r="F709" s="5"/>
      <c r="P709" s="33"/>
      <c r="Q709" s="33"/>
      <c r="R709" s="33"/>
      <c r="S709" s="33"/>
      <c r="T709" s="33"/>
    </row>
    <row r="710" spans="2:20" ht="15.75" customHeight="1">
      <c r="B710" s="5"/>
      <c r="C710" s="5"/>
      <c r="D710" s="5"/>
      <c r="E710" s="5"/>
      <c r="F710" s="5"/>
      <c r="P710" s="33"/>
      <c r="Q710" s="33"/>
      <c r="R710" s="33"/>
      <c r="S710" s="33"/>
      <c r="T710" s="33"/>
    </row>
    <row r="711" spans="2:20" ht="15.75" customHeight="1">
      <c r="B711" s="5"/>
      <c r="C711" s="5"/>
      <c r="D711" s="5"/>
      <c r="E711" s="5"/>
      <c r="F711" s="5"/>
      <c r="P711" s="33"/>
      <c r="Q711" s="33"/>
      <c r="R711" s="33"/>
      <c r="S711" s="33"/>
      <c r="T711" s="33"/>
    </row>
    <row r="712" spans="2:20" ht="15.75" customHeight="1">
      <c r="B712" s="5"/>
      <c r="C712" s="5"/>
      <c r="D712" s="5"/>
      <c r="E712" s="5"/>
      <c r="F712" s="5"/>
      <c r="P712" s="33"/>
      <c r="Q712" s="33"/>
      <c r="R712" s="33"/>
      <c r="S712" s="33"/>
      <c r="T712" s="33"/>
    </row>
    <row r="713" spans="2:20" ht="15.75" customHeight="1">
      <c r="B713" s="5"/>
      <c r="C713" s="5"/>
      <c r="D713" s="5"/>
      <c r="E713" s="5"/>
      <c r="F713" s="5"/>
      <c r="P713" s="33"/>
      <c r="Q713" s="33"/>
      <c r="R713" s="33"/>
      <c r="S713" s="33"/>
      <c r="T713" s="33"/>
    </row>
    <row r="714" spans="2:20" ht="15.75" customHeight="1">
      <c r="B714" s="5"/>
      <c r="C714" s="5"/>
      <c r="D714" s="5"/>
      <c r="E714" s="5"/>
      <c r="F714" s="5"/>
      <c r="P714" s="33"/>
      <c r="Q714" s="33"/>
      <c r="R714" s="33"/>
      <c r="S714" s="33"/>
      <c r="T714" s="33"/>
    </row>
    <row r="715" spans="2:20" ht="15.75" customHeight="1">
      <c r="B715" s="5"/>
      <c r="C715" s="5"/>
      <c r="D715" s="5"/>
      <c r="E715" s="5"/>
      <c r="F715" s="5"/>
      <c r="P715" s="33"/>
      <c r="Q715" s="33"/>
      <c r="R715" s="33"/>
      <c r="S715" s="33"/>
      <c r="T715" s="33"/>
    </row>
    <row r="716" spans="2:20" ht="15.75" customHeight="1">
      <c r="B716" s="5"/>
      <c r="C716" s="5"/>
      <c r="D716" s="5"/>
      <c r="E716" s="5"/>
      <c r="F716" s="5"/>
      <c r="P716" s="33"/>
      <c r="Q716" s="33"/>
      <c r="R716" s="33"/>
      <c r="S716" s="33"/>
      <c r="T716" s="33"/>
    </row>
    <row r="717" spans="2:20" ht="15.75" customHeight="1">
      <c r="B717" s="5"/>
      <c r="C717" s="5"/>
      <c r="D717" s="5"/>
      <c r="E717" s="5"/>
      <c r="F717" s="5"/>
      <c r="P717" s="33"/>
      <c r="Q717" s="33"/>
      <c r="R717" s="33"/>
      <c r="S717" s="33"/>
      <c r="T717" s="33"/>
    </row>
    <row r="718" spans="2:20" ht="15.75" customHeight="1">
      <c r="B718" s="5"/>
      <c r="C718" s="5"/>
      <c r="D718" s="5"/>
      <c r="E718" s="5"/>
      <c r="F718" s="5"/>
      <c r="P718" s="33"/>
      <c r="Q718" s="33"/>
      <c r="R718" s="33"/>
      <c r="S718" s="33"/>
      <c r="T718" s="33"/>
    </row>
    <row r="719" spans="2:20" ht="15.75" customHeight="1">
      <c r="B719" s="5"/>
      <c r="C719" s="5"/>
      <c r="D719" s="5"/>
      <c r="E719" s="5"/>
      <c r="F719" s="5"/>
      <c r="P719" s="33"/>
      <c r="Q719" s="33"/>
      <c r="R719" s="33"/>
      <c r="S719" s="33"/>
      <c r="T719" s="33"/>
    </row>
    <row r="720" spans="2:20" ht="15.75" customHeight="1">
      <c r="B720" s="5"/>
      <c r="C720" s="5"/>
      <c r="D720" s="5"/>
      <c r="E720" s="5"/>
      <c r="F720" s="5"/>
      <c r="P720" s="33"/>
      <c r="Q720" s="33"/>
      <c r="R720" s="33"/>
      <c r="S720" s="33"/>
      <c r="T720" s="33"/>
    </row>
    <row r="721" spans="2:20" ht="15.75" customHeight="1">
      <c r="B721" s="5"/>
      <c r="C721" s="5"/>
      <c r="D721" s="5"/>
      <c r="E721" s="5"/>
      <c r="F721" s="5"/>
      <c r="P721" s="33"/>
      <c r="Q721" s="33"/>
      <c r="R721" s="33"/>
      <c r="S721" s="33"/>
      <c r="T721" s="33"/>
    </row>
    <row r="722" spans="2:20" ht="15.75" customHeight="1">
      <c r="B722" s="5"/>
      <c r="C722" s="5"/>
      <c r="D722" s="5"/>
      <c r="E722" s="5"/>
      <c r="F722" s="5"/>
      <c r="P722" s="33"/>
      <c r="Q722" s="33"/>
      <c r="R722" s="33"/>
      <c r="S722" s="33"/>
      <c r="T722" s="33"/>
    </row>
    <row r="723" spans="2:20" ht="15.75" customHeight="1">
      <c r="B723" s="5"/>
      <c r="C723" s="5"/>
      <c r="D723" s="5"/>
      <c r="E723" s="5"/>
      <c r="F723" s="5"/>
      <c r="P723" s="33"/>
      <c r="Q723" s="33"/>
      <c r="R723" s="33"/>
      <c r="S723" s="33"/>
      <c r="T723" s="33"/>
    </row>
    <row r="724" spans="2:20" ht="15.75" customHeight="1">
      <c r="B724" s="5"/>
      <c r="C724" s="5"/>
      <c r="D724" s="5"/>
      <c r="E724" s="5"/>
      <c r="F724" s="5"/>
      <c r="P724" s="33"/>
      <c r="Q724" s="33"/>
      <c r="R724" s="33"/>
      <c r="S724" s="33"/>
      <c r="T724" s="33"/>
    </row>
    <row r="725" spans="2:20" ht="15.75" customHeight="1">
      <c r="B725" s="5"/>
      <c r="C725" s="5"/>
      <c r="D725" s="5"/>
      <c r="E725" s="5"/>
      <c r="F725" s="5"/>
      <c r="P725" s="33"/>
      <c r="Q725" s="33"/>
      <c r="R725" s="33"/>
      <c r="S725" s="33"/>
      <c r="T725" s="33"/>
    </row>
    <row r="726" spans="2:20" ht="15.75" customHeight="1">
      <c r="B726" s="5"/>
      <c r="C726" s="5"/>
      <c r="D726" s="5"/>
      <c r="E726" s="5"/>
      <c r="F726" s="5"/>
      <c r="P726" s="33"/>
      <c r="Q726" s="33"/>
      <c r="R726" s="33"/>
      <c r="S726" s="33"/>
      <c r="T726" s="33"/>
    </row>
    <row r="727" spans="2:20" ht="15.75" customHeight="1">
      <c r="B727" s="5"/>
      <c r="C727" s="5"/>
      <c r="D727" s="5"/>
      <c r="E727" s="5"/>
      <c r="F727" s="5"/>
      <c r="P727" s="33"/>
      <c r="Q727" s="33"/>
      <c r="R727" s="33"/>
      <c r="S727" s="33"/>
      <c r="T727" s="33"/>
    </row>
    <row r="728" spans="2:20" ht="15.75" customHeight="1">
      <c r="B728" s="5"/>
      <c r="C728" s="5"/>
      <c r="D728" s="5"/>
      <c r="E728" s="5"/>
      <c r="F728" s="5"/>
      <c r="P728" s="33"/>
      <c r="Q728" s="33"/>
      <c r="R728" s="33"/>
      <c r="S728" s="33"/>
      <c r="T728" s="33"/>
    </row>
    <row r="729" spans="2:20" ht="15.75" customHeight="1">
      <c r="B729" s="5"/>
      <c r="C729" s="5"/>
      <c r="D729" s="5"/>
      <c r="E729" s="5"/>
      <c r="F729" s="5"/>
      <c r="P729" s="33"/>
      <c r="Q729" s="33"/>
      <c r="R729" s="33"/>
      <c r="S729" s="33"/>
      <c r="T729" s="33"/>
    </row>
    <row r="730" spans="2:20" ht="15.75" customHeight="1">
      <c r="B730" s="5"/>
      <c r="C730" s="5"/>
      <c r="D730" s="5"/>
      <c r="E730" s="5"/>
      <c r="F730" s="5"/>
      <c r="P730" s="33"/>
      <c r="Q730" s="33"/>
      <c r="R730" s="33"/>
      <c r="S730" s="33"/>
      <c r="T730" s="33"/>
    </row>
    <row r="731" spans="2:20" ht="15.75" customHeight="1">
      <c r="B731" s="5"/>
      <c r="C731" s="5"/>
      <c r="D731" s="5"/>
      <c r="E731" s="5"/>
      <c r="F731" s="5"/>
      <c r="P731" s="33"/>
      <c r="Q731" s="33"/>
      <c r="R731" s="33"/>
      <c r="S731" s="33"/>
      <c r="T731" s="33"/>
    </row>
    <row r="732" spans="2:20" ht="15.75" customHeight="1">
      <c r="B732" s="5"/>
      <c r="C732" s="5"/>
      <c r="D732" s="5"/>
      <c r="E732" s="5"/>
      <c r="F732" s="5"/>
      <c r="P732" s="33"/>
      <c r="Q732" s="33"/>
      <c r="R732" s="33"/>
      <c r="S732" s="33"/>
      <c r="T732" s="33"/>
    </row>
    <row r="733" spans="2:20" ht="15.75" customHeight="1">
      <c r="B733" s="5"/>
      <c r="C733" s="5"/>
      <c r="D733" s="5"/>
      <c r="E733" s="5"/>
      <c r="F733" s="5"/>
      <c r="P733" s="33"/>
      <c r="Q733" s="33"/>
      <c r="R733" s="33"/>
      <c r="S733" s="33"/>
      <c r="T733" s="33"/>
    </row>
    <row r="734" spans="2:20" ht="15.75" customHeight="1">
      <c r="B734" s="5"/>
      <c r="C734" s="5"/>
      <c r="D734" s="5"/>
      <c r="E734" s="5"/>
      <c r="F734" s="5"/>
      <c r="P734" s="33"/>
      <c r="Q734" s="33"/>
      <c r="R734" s="33"/>
      <c r="S734" s="33"/>
      <c r="T734" s="33"/>
    </row>
    <row r="735" spans="2:20" ht="15.75" customHeight="1">
      <c r="B735" s="5"/>
      <c r="C735" s="5"/>
      <c r="D735" s="5"/>
      <c r="E735" s="5"/>
      <c r="F735" s="5"/>
      <c r="P735" s="33"/>
      <c r="Q735" s="33"/>
      <c r="R735" s="33"/>
      <c r="S735" s="33"/>
      <c r="T735" s="33"/>
    </row>
    <row r="736" spans="2:20" ht="15.75" customHeight="1">
      <c r="B736" s="5"/>
      <c r="C736" s="5"/>
      <c r="D736" s="5"/>
      <c r="E736" s="5"/>
      <c r="F736" s="5"/>
      <c r="P736" s="33"/>
      <c r="Q736" s="33"/>
      <c r="R736" s="33"/>
      <c r="S736" s="33"/>
      <c r="T736" s="33"/>
    </row>
    <row r="737" spans="2:20" ht="15.75" customHeight="1">
      <c r="B737" s="5"/>
      <c r="C737" s="5"/>
      <c r="D737" s="5"/>
      <c r="E737" s="5"/>
      <c r="F737" s="5"/>
      <c r="P737" s="33"/>
      <c r="Q737" s="33"/>
      <c r="R737" s="33"/>
      <c r="S737" s="33"/>
      <c r="T737" s="33"/>
    </row>
    <row r="738" spans="2:20" ht="15.75" customHeight="1">
      <c r="B738" s="5"/>
      <c r="C738" s="5"/>
      <c r="D738" s="5"/>
      <c r="E738" s="5"/>
      <c r="F738" s="5"/>
      <c r="P738" s="33"/>
      <c r="Q738" s="33"/>
      <c r="R738" s="33"/>
      <c r="S738" s="33"/>
      <c r="T738" s="33"/>
    </row>
    <row r="739" spans="2:20" ht="15.75" customHeight="1">
      <c r="B739" s="5"/>
      <c r="C739" s="5"/>
      <c r="D739" s="5"/>
      <c r="E739" s="5"/>
      <c r="F739" s="5"/>
      <c r="P739" s="33"/>
      <c r="Q739" s="33"/>
      <c r="R739" s="33"/>
      <c r="S739" s="33"/>
      <c r="T739" s="33"/>
    </row>
    <row r="740" spans="2:20" ht="15.75" customHeight="1">
      <c r="B740" s="5"/>
      <c r="C740" s="5"/>
      <c r="D740" s="5"/>
      <c r="E740" s="5"/>
      <c r="F740" s="5"/>
      <c r="P740" s="33"/>
      <c r="Q740" s="33"/>
      <c r="R740" s="33"/>
      <c r="S740" s="33"/>
      <c r="T740" s="33"/>
    </row>
    <row r="741" spans="2:20" ht="15.75" customHeight="1">
      <c r="B741" s="5"/>
      <c r="C741" s="5"/>
      <c r="D741" s="5"/>
      <c r="E741" s="5"/>
      <c r="F741" s="5"/>
      <c r="P741" s="33"/>
      <c r="Q741" s="33"/>
      <c r="R741" s="33"/>
      <c r="S741" s="33"/>
      <c r="T741" s="33"/>
    </row>
    <row r="742" spans="2:20" ht="15.75" customHeight="1">
      <c r="B742" s="5"/>
      <c r="C742" s="5"/>
      <c r="D742" s="5"/>
      <c r="E742" s="5"/>
      <c r="F742" s="5"/>
      <c r="P742" s="33"/>
      <c r="Q742" s="33"/>
      <c r="R742" s="33"/>
      <c r="S742" s="33"/>
      <c r="T742" s="33"/>
    </row>
    <row r="743" spans="2:20" ht="15.75" customHeight="1">
      <c r="B743" s="5"/>
      <c r="C743" s="5"/>
      <c r="D743" s="5"/>
      <c r="E743" s="5"/>
      <c r="F743" s="5"/>
      <c r="P743" s="33"/>
      <c r="Q743" s="33"/>
      <c r="R743" s="33"/>
      <c r="S743" s="33"/>
      <c r="T743" s="33"/>
    </row>
    <row r="744" spans="2:20" ht="15.75" customHeight="1">
      <c r="B744" s="5"/>
      <c r="C744" s="5"/>
      <c r="D744" s="5"/>
      <c r="E744" s="5"/>
      <c r="F744" s="5"/>
      <c r="P744" s="33"/>
      <c r="Q744" s="33"/>
      <c r="R744" s="33"/>
      <c r="S744" s="33"/>
      <c r="T744" s="33"/>
    </row>
    <row r="745" spans="2:20" ht="15.75" customHeight="1">
      <c r="B745" s="5"/>
      <c r="C745" s="5"/>
      <c r="D745" s="5"/>
      <c r="E745" s="5"/>
      <c r="F745" s="5"/>
      <c r="P745" s="33"/>
      <c r="Q745" s="33"/>
      <c r="R745" s="33"/>
      <c r="S745" s="33"/>
      <c r="T745" s="33"/>
    </row>
    <row r="746" spans="2:20" ht="15.75" customHeight="1">
      <c r="B746" s="5"/>
      <c r="C746" s="5"/>
      <c r="D746" s="5"/>
      <c r="E746" s="5"/>
      <c r="F746" s="5"/>
      <c r="P746" s="33"/>
      <c r="Q746" s="33"/>
      <c r="R746" s="33"/>
      <c r="S746" s="33"/>
      <c r="T746" s="33"/>
    </row>
    <row r="747" spans="2:20" ht="15.75" customHeight="1">
      <c r="B747" s="5"/>
      <c r="C747" s="5"/>
      <c r="D747" s="5"/>
      <c r="E747" s="5"/>
      <c r="F747" s="5"/>
      <c r="P747" s="33"/>
      <c r="Q747" s="33"/>
      <c r="R747" s="33"/>
      <c r="S747" s="33"/>
      <c r="T747" s="33"/>
    </row>
    <row r="748" spans="2:20" ht="15.75" customHeight="1">
      <c r="B748" s="5"/>
      <c r="C748" s="5"/>
      <c r="D748" s="5"/>
      <c r="E748" s="5"/>
      <c r="F748" s="5"/>
      <c r="P748" s="33"/>
      <c r="Q748" s="33"/>
      <c r="R748" s="33"/>
      <c r="S748" s="33"/>
      <c r="T748" s="33"/>
    </row>
    <row r="749" spans="2:20" ht="15.75" customHeight="1">
      <c r="B749" s="5"/>
      <c r="C749" s="5"/>
      <c r="D749" s="5"/>
      <c r="E749" s="5"/>
      <c r="F749" s="5"/>
      <c r="P749" s="33"/>
      <c r="Q749" s="33"/>
      <c r="R749" s="33"/>
      <c r="S749" s="33"/>
      <c r="T749" s="33"/>
    </row>
    <row r="750" spans="2:20" ht="15.75" customHeight="1">
      <c r="B750" s="5"/>
      <c r="C750" s="5"/>
      <c r="D750" s="5"/>
      <c r="E750" s="5"/>
      <c r="F750" s="5"/>
      <c r="P750" s="33"/>
      <c r="Q750" s="33"/>
      <c r="R750" s="33"/>
      <c r="S750" s="33"/>
      <c r="T750" s="33"/>
    </row>
    <row r="751" spans="2:20" ht="15.75" customHeight="1">
      <c r="B751" s="5"/>
      <c r="C751" s="5"/>
      <c r="D751" s="5"/>
      <c r="E751" s="5"/>
      <c r="F751" s="5"/>
      <c r="P751" s="33"/>
      <c r="Q751" s="33"/>
      <c r="R751" s="33"/>
      <c r="S751" s="33"/>
      <c r="T751" s="33"/>
    </row>
    <row r="752" spans="2:20" ht="15.75" customHeight="1">
      <c r="B752" s="5"/>
      <c r="C752" s="5"/>
      <c r="D752" s="5"/>
      <c r="E752" s="5"/>
      <c r="F752" s="5"/>
      <c r="P752" s="33"/>
      <c r="Q752" s="33"/>
      <c r="R752" s="33"/>
      <c r="S752" s="33"/>
      <c r="T752" s="33"/>
    </row>
    <row r="753" spans="2:20" ht="15.75" customHeight="1">
      <c r="B753" s="5"/>
      <c r="C753" s="5"/>
      <c r="D753" s="5"/>
      <c r="E753" s="5"/>
      <c r="F753" s="5"/>
      <c r="P753" s="33"/>
      <c r="Q753" s="33"/>
      <c r="R753" s="33"/>
      <c r="S753" s="33"/>
      <c r="T753" s="33"/>
    </row>
    <row r="754" spans="2:20" ht="15.75" customHeight="1">
      <c r="B754" s="5"/>
      <c r="C754" s="5"/>
      <c r="D754" s="5"/>
      <c r="E754" s="5"/>
      <c r="F754" s="5"/>
      <c r="P754" s="33"/>
      <c r="Q754" s="33"/>
      <c r="R754" s="33"/>
      <c r="S754" s="33"/>
      <c r="T754" s="33"/>
    </row>
    <row r="755" spans="2:20" ht="15.75" customHeight="1">
      <c r="B755" s="5"/>
      <c r="C755" s="5"/>
      <c r="D755" s="5"/>
      <c r="E755" s="5"/>
      <c r="F755" s="5"/>
      <c r="P755" s="33"/>
      <c r="Q755" s="33"/>
      <c r="R755" s="33"/>
      <c r="S755" s="33"/>
      <c r="T755" s="33"/>
    </row>
    <row r="756" spans="2:20" ht="15.75" customHeight="1">
      <c r="B756" s="5"/>
      <c r="C756" s="5"/>
      <c r="D756" s="5"/>
      <c r="E756" s="5"/>
      <c r="F756" s="5"/>
      <c r="P756" s="33"/>
      <c r="Q756" s="33"/>
      <c r="R756" s="33"/>
      <c r="S756" s="33"/>
      <c r="T756" s="33"/>
    </row>
    <row r="757" spans="2:20" ht="15.75" customHeight="1">
      <c r="B757" s="5"/>
      <c r="C757" s="5"/>
      <c r="D757" s="5"/>
      <c r="E757" s="5"/>
      <c r="F757" s="5"/>
      <c r="P757" s="33"/>
      <c r="Q757" s="33"/>
      <c r="R757" s="33"/>
      <c r="S757" s="33"/>
      <c r="T757" s="33"/>
    </row>
    <row r="758" spans="2:20" ht="15.75" customHeight="1">
      <c r="B758" s="5"/>
      <c r="C758" s="5"/>
      <c r="D758" s="5"/>
      <c r="E758" s="5"/>
      <c r="F758" s="5"/>
      <c r="P758" s="33"/>
      <c r="Q758" s="33"/>
      <c r="R758" s="33"/>
      <c r="S758" s="33"/>
      <c r="T758" s="33"/>
    </row>
    <row r="759" spans="2:20" ht="15.75" customHeight="1">
      <c r="B759" s="5"/>
      <c r="C759" s="5"/>
      <c r="D759" s="5"/>
      <c r="E759" s="5"/>
      <c r="F759" s="5"/>
      <c r="P759" s="33"/>
      <c r="Q759" s="33"/>
      <c r="R759" s="33"/>
      <c r="S759" s="33"/>
      <c r="T759" s="33"/>
    </row>
    <row r="760" spans="2:20" ht="15.75" customHeight="1">
      <c r="B760" s="5"/>
      <c r="C760" s="5"/>
      <c r="D760" s="5"/>
      <c r="E760" s="5"/>
      <c r="F760" s="5"/>
      <c r="P760" s="33"/>
      <c r="Q760" s="33"/>
      <c r="R760" s="33"/>
      <c r="S760" s="33"/>
      <c r="T760" s="33"/>
    </row>
    <row r="761" spans="2:20" ht="15.75" customHeight="1">
      <c r="B761" s="5"/>
      <c r="C761" s="5"/>
      <c r="D761" s="5"/>
      <c r="E761" s="5"/>
      <c r="F761" s="5"/>
      <c r="P761" s="33"/>
      <c r="Q761" s="33"/>
      <c r="R761" s="33"/>
      <c r="S761" s="33"/>
      <c r="T761" s="33"/>
    </row>
    <row r="762" spans="2:20" ht="15.75" customHeight="1">
      <c r="B762" s="5"/>
      <c r="C762" s="5"/>
      <c r="D762" s="5"/>
      <c r="E762" s="5"/>
      <c r="F762" s="5"/>
      <c r="P762" s="33"/>
      <c r="Q762" s="33"/>
      <c r="R762" s="33"/>
      <c r="S762" s="33"/>
      <c r="T762" s="33"/>
    </row>
    <row r="763" spans="2:20" ht="15.75" customHeight="1">
      <c r="B763" s="5"/>
      <c r="C763" s="5"/>
      <c r="D763" s="5"/>
      <c r="E763" s="5"/>
      <c r="F763" s="5"/>
      <c r="P763" s="33"/>
      <c r="Q763" s="33"/>
      <c r="R763" s="33"/>
      <c r="S763" s="33"/>
      <c r="T763" s="33"/>
    </row>
    <row r="764" spans="2:20" ht="15.75" customHeight="1">
      <c r="B764" s="5"/>
      <c r="C764" s="5"/>
      <c r="D764" s="5"/>
      <c r="E764" s="5"/>
      <c r="F764" s="5"/>
      <c r="P764" s="33"/>
      <c r="Q764" s="33"/>
      <c r="R764" s="33"/>
      <c r="S764" s="33"/>
      <c r="T764" s="33"/>
    </row>
    <row r="765" spans="2:20" ht="15.75" customHeight="1">
      <c r="B765" s="5"/>
      <c r="C765" s="5"/>
      <c r="D765" s="5"/>
      <c r="E765" s="5"/>
      <c r="F765" s="5"/>
      <c r="P765" s="33"/>
      <c r="Q765" s="33"/>
      <c r="R765" s="33"/>
      <c r="S765" s="33"/>
      <c r="T765" s="33"/>
    </row>
    <row r="766" spans="2:20" ht="15.75" customHeight="1">
      <c r="B766" s="5"/>
      <c r="C766" s="5"/>
      <c r="D766" s="5"/>
      <c r="E766" s="5"/>
      <c r="F766" s="5"/>
      <c r="P766" s="33"/>
      <c r="Q766" s="33"/>
      <c r="R766" s="33"/>
      <c r="S766" s="33"/>
      <c r="T766" s="33"/>
    </row>
    <row r="767" spans="2:20" ht="15.75" customHeight="1">
      <c r="B767" s="5"/>
      <c r="C767" s="5"/>
      <c r="D767" s="5"/>
      <c r="E767" s="5"/>
      <c r="F767" s="5"/>
      <c r="P767" s="33"/>
      <c r="Q767" s="33"/>
      <c r="R767" s="33"/>
      <c r="S767" s="33"/>
      <c r="T767" s="33"/>
    </row>
    <row r="768" spans="2:20" ht="15.75" customHeight="1">
      <c r="B768" s="5"/>
      <c r="C768" s="5"/>
      <c r="D768" s="5"/>
      <c r="E768" s="5"/>
      <c r="F768" s="5"/>
      <c r="P768" s="33"/>
      <c r="Q768" s="33"/>
      <c r="R768" s="33"/>
      <c r="S768" s="33"/>
      <c r="T768" s="33"/>
    </row>
    <row r="769" spans="2:20" ht="15.75" customHeight="1">
      <c r="B769" s="5"/>
      <c r="C769" s="5"/>
      <c r="D769" s="5"/>
      <c r="E769" s="5"/>
      <c r="F769" s="5"/>
      <c r="P769" s="33"/>
      <c r="Q769" s="33"/>
      <c r="R769" s="33"/>
      <c r="S769" s="33"/>
      <c r="T769" s="33"/>
    </row>
    <row r="770" spans="2:20" ht="15.75" customHeight="1">
      <c r="B770" s="5"/>
      <c r="C770" s="5"/>
      <c r="D770" s="5"/>
      <c r="E770" s="5"/>
      <c r="F770" s="5"/>
      <c r="P770" s="33"/>
      <c r="Q770" s="33"/>
      <c r="R770" s="33"/>
      <c r="S770" s="33"/>
      <c r="T770" s="33"/>
    </row>
    <row r="771" spans="2:20" ht="15.75" customHeight="1">
      <c r="B771" s="5"/>
      <c r="C771" s="5"/>
      <c r="D771" s="5"/>
      <c r="E771" s="5"/>
      <c r="F771" s="5"/>
      <c r="P771" s="33"/>
      <c r="Q771" s="33"/>
      <c r="R771" s="33"/>
      <c r="S771" s="33"/>
      <c r="T771" s="33"/>
    </row>
    <row r="772" spans="2:20" ht="15.75" customHeight="1">
      <c r="B772" s="5"/>
      <c r="C772" s="5"/>
      <c r="D772" s="5"/>
      <c r="E772" s="5"/>
      <c r="F772" s="5"/>
      <c r="P772" s="33"/>
      <c r="Q772" s="33"/>
      <c r="R772" s="33"/>
      <c r="S772" s="33"/>
      <c r="T772" s="33"/>
    </row>
    <row r="773" spans="2:20" ht="15.75" customHeight="1">
      <c r="B773" s="5"/>
      <c r="C773" s="5"/>
      <c r="D773" s="5"/>
      <c r="E773" s="5"/>
      <c r="F773" s="5"/>
      <c r="P773" s="33"/>
      <c r="Q773" s="33"/>
      <c r="R773" s="33"/>
      <c r="S773" s="33"/>
      <c r="T773" s="33"/>
    </row>
    <row r="774" spans="2:20" ht="15.75" customHeight="1">
      <c r="B774" s="5"/>
      <c r="C774" s="5"/>
      <c r="D774" s="5"/>
      <c r="E774" s="5"/>
      <c r="F774" s="5"/>
      <c r="P774" s="33"/>
      <c r="Q774" s="33"/>
      <c r="R774" s="33"/>
      <c r="S774" s="33"/>
      <c r="T774" s="33"/>
    </row>
    <row r="775" spans="2:20" ht="15.75" customHeight="1">
      <c r="B775" s="5"/>
      <c r="C775" s="5"/>
      <c r="D775" s="5"/>
      <c r="E775" s="5"/>
      <c r="F775" s="5"/>
      <c r="P775" s="33"/>
      <c r="Q775" s="33"/>
      <c r="R775" s="33"/>
      <c r="S775" s="33"/>
      <c r="T775" s="33"/>
    </row>
    <row r="776" spans="2:20" ht="15.75" customHeight="1">
      <c r="B776" s="5"/>
      <c r="C776" s="5"/>
      <c r="D776" s="5"/>
      <c r="E776" s="5"/>
      <c r="F776" s="5"/>
      <c r="P776" s="33"/>
      <c r="Q776" s="33"/>
      <c r="R776" s="33"/>
      <c r="S776" s="33"/>
      <c r="T776" s="33"/>
    </row>
    <row r="777" spans="2:20" ht="15.75" customHeight="1">
      <c r="B777" s="5"/>
      <c r="C777" s="5"/>
      <c r="D777" s="5"/>
      <c r="E777" s="5"/>
      <c r="F777" s="5"/>
      <c r="P777" s="33"/>
      <c r="Q777" s="33"/>
      <c r="R777" s="33"/>
      <c r="S777" s="33"/>
      <c r="T777" s="33"/>
    </row>
    <row r="778" spans="2:20" ht="15.75" customHeight="1">
      <c r="B778" s="5"/>
      <c r="C778" s="5"/>
      <c r="D778" s="5"/>
      <c r="E778" s="5"/>
      <c r="F778" s="5"/>
      <c r="P778" s="33"/>
      <c r="Q778" s="33"/>
      <c r="R778" s="33"/>
      <c r="S778" s="33"/>
      <c r="T778" s="33"/>
    </row>
    <row r="779" spans="2:20" ht="15.75" customHeight="1">
      <c r="B779" s="5"/>
      <c r="C779" s="5"/>
      <c r="D779" s="5"/>
      <c r="E779" s="5"/>
      <c r="F779" s="5"/>
      <c r="P779" s="33"/>
      <c r="Q779" s="33"/>
      <c r="R779" s="33"/>
      <c r="S779" s="33"/>
      <c r="T779" s="33"/>
    </row>
    <row r="780" spans="2:20" ht="15.75" customHeight="1">
      <c r="B780" s="5"/>
      <c r="C780" s="5"/>
      <c r="D780" s="5"/>
      <c r="E780" s="5"/>
      <c r="F780" s="5"/>
      <c r="P780" s="33"/>
      <c r="Q780" s="33"/>
      <c r="R780" s="33"/>
      <c r="S780" s="33"/>
      <c r="T780" s="33"/>
    </row>
    <row r="781" spans="2:20" ht="15.75" customHeight="1">
      <c r="B781" s="5"/>
      <c r="C781" s="5"/>
      <c r="D781" s="5"/>
      <c r="E781" s="5"/>
      <c r="F781" s="5"/>
      <c r="P781" s="33"/>
      <c r="Q781" s="33"/>
      <c r="R781" s="33"/>
      <c r="S781" s="33"/>
      <c r="T781" s="33"/>
    </row>
    <row r="782" spans="2:20" ht="15.75" customHeight="1">
      <c r="B782" s="5"/>
      <c r="C782" s="5"/>
      <c r="D782" s="5"/>
      <c r="E782" s="5"/>
      <c r="F782" s="5"/>
      <c r="P782" s="33"/>
      <c r="Q782" s="33"/>
      <c r="R782" s="33"/>
      <c r="S782" s="33"/>
      <c r="T782" s="33"/>
    </row>
    <row r="783" spans="2:20" ht="15.75" customHeight="1">
      <c r="B783" s="5"/>
      <c r="C783" s="5"/>
      <c r="D783" s="5"/>
      <c r="E783" s="5"/>
      <c r="F783" s="5"/>
      <c r="P783" s="33"/>
      <c r="Q783" s="33"/>
      <c r="R783" s="33"/>
      <c r="S783" s="33"/>
      <c r="T783" s="33"/>
    </row>
    <row r="784" spans="2:20" ht="15.75" customHeight="1">
      <c r="B784" s="5"/>
      <c r="C784" s="5"/>
      <c r="D784" s="5"/>
      <c r="E784" s="5"/>
      <c r="F784" s="5"/>
      <c r="P784" s="33"/>
      <c r="Q784" s="33"/>
      <c r="R784" s="33"/>
      <c r="S784" s="33"/>
      <c r="T784" s="33"/>
    </row>
    <row r="785" spans="2:20" ht="15.75" customHeight="1">
      <c r="B785" s="5"/>
      <c r="C785" s="5"/>
      <c r="D785" s="5"/>
      <c r="E785" s="5"/>
      <c r="F785" s="5"/>
      <c r="P785" s="33"/>
      <c r="Q785" s="33"/>
      <c r="R785" s="33"/>
      <c r="S785" s="33"/>
      <c r="T785" s="33"/>
    </row>
    <row r="786" spans="2:20" ht="15.75" customHeight="1">
      <c r="B786" s="5"/>
      <c r="C786" s="5"/>
      <c r="D786" s="5"/>
      <c r="E786" s="5"/>
      <c r="F786" s="5"/>
      <c r="P786" s="33"/>
      <c r="Q786" s="33"/>
      <c r="R786" s="33"/>
      <c r="S786" s="33"/>
      <c r="T786" s="33"/>
    </row>
    <row r="787" spans="2:20" ht="15.75" customHeight="1">
      <c r="B787" s="5"/>
      <c r="C787" s="5"/>
      <c r="D787" s="5"/>
      <c r="E787" s="5"/>
      <c r="F787" s="5"/>
      <c r="P787" s="33"/>
      <c r="Q787" s="33"/>
      <c r="R787" s="33"/>
      <c r="S787" s="33"/>
      <c r="T787" s="33"/>
    </row>
    <row r="788" spans="2:20" ht="15.75" customHeight="1">
      <c r="B788" s="5"/>
      <c r="C788" s="5"/>
      <c r="D788" s="5"/>
      <c r="E788" s="5"/>
      <c r="F788" s="5"/>
      <c r="P788" s="33"/>
      <c r="Q788" s="33"/>
      <c r="R788" s="33"/>
      <c r="S788" s="33"/>
      <c r="T788" s="33"/>
    </row>
    <row r="789" spans="2:20" ht="15.75" customHeight="1">
      <c r="B789" s="5"/>
      <c r="C789" s="5"/>
      <c r="D789" s="5"/>
      <c r="E789" s="5"/>
      <c r="F789" s="5"/>
      <c r="P789" s="33"/>
      <c r="Q789" s="33"/>
      <c r="R789" s="33"/>
      <c r="S789" s="33"/>
      <c r="T789" s="33"/>
    </row>
    <row r="790" spans="2:20" ht="15.75" customHeight="1">
      <c r="B790" s="5"/>
      <c r="C790" s="5"/>
      <c r="D790" s="5"/>
      <c r="E790" s="5"/>
      <c r="F790" s="5"/>
      <c r="P790" s="33"/>
      <c r="Q790" s="33"/>
      <c r="R790" s="33"/>
      <c r="S790" s="33"/>
      <c r="T790" s="33"/>
    </row>
    <row r="791" spans="2:20" ht="15.75" customHeight="1">
      <c r="B791" s="5"/>
      <c r="C791" s="5"/>
      <c r="D791" s="5"/>
      <c r="E791" s="5"/>
      <c r="F791" s="5"/>
      <c r="P791" s="33"/>
      <c r="Q791" s="33"/>
      <c r="R791" s="33"/>
      <c r="S791" s="33"/>
      <c r="T791" s="33"/>
    </row>
    <row r="792" spans="2:20" ht="15.75" customHeight="1">
      <c r="B792" s="5"/>
      <c r="C792" s="5"/>
      <c r="D792" s="5"/>
      <c r="E792" s="5"/>
      <c r="F792" s="5"/>
      <c r="P792" s="33"/>
      <c r="Q792" s="33"/>
      <c r="R792" s="33"/>
      <c r="S792" s="33"/>
      <c r="T792" s="33"/>
    </row>
    <row r="793" spans="2:20" ht="15.75" customHeight="1">
      <c r="B793" s="5"/>
      <c r="C793" s="5"/>
      <c r="D793" s="5"/>
      <c r="E793" s="5"/>
      <c r="F793" s="5"/>
      <c r="P793" s="33"/>
      <c r="Q793" s="33"/>
      <c r="R793" s="33"/>
      <c r="S793" s="33"/>
      <c r="T793" s="33"/>
    </row>
    <row r="794" spans="2:20" ht="15.75" customHeight="1">
      <c r="B794" s="5"/>
      <c r="C794" s="5"/>
      <c r="D794" s="5"/>
      <c r="E794" s="5"/>
      <c r="F794" s="5"/>
      <c r="P794" s="33"/>
      <c r="Q794" s="33"/>
      <c r="R794" s="33"/>
      <c r="S794" s="33"/>
      <c r="T794" s="33"/>
    </row>
    <row r="795" spans="2:20" ht="15.75" customHeight="1">
      <c r="B795" s="5"/>
      <c r="C795" s="5"/>
      <c r="D795" s="5"/>
      <c r="E795" s="5"/>
      <c r="F795" s="5"/>
      <c r="P795" s="33"/>
      <c r="Q795" s="33"/>
      <c r="R795" s="33"/>
      <c r="S795" s="33"/>
      <c r="T795" s="33"/>
    </row>
    <row r="796" spans="2:20" ht="15.75" customHeight="1">
      <c r="B796" s="5"/>
      <c r="C796" s="5"/>
      <c r="D796" s="5"/>
      <c r="E796" s="5"/>
      <c r="F796" s="5"/>
      <c r="P796" s="33"/>
      <c r="Q796" s="33"/>
      <c r="R796" s="33"/>
      <c r="S796" s="33"/>
      <c r="T796" s="33"/>
    </row>
    <row r="797" spans="2:20" ht="15.75" customHeight="1">
      <c r="B797" s="5"/>
      <c r="C797" s="5"/>
      <c r="D797" s="5"/>
      <c r="E797" s="5"/>
      <c r="F797" s="5"/>
      <c r="P797" s="33"/>
      <c r="Q797" s="33"/>
      <c r="R797" s="33"/>
      <c r="S797" s="33"/>
      <c r="T797" s="33"/>
    </row>
    <row r="798" spans="2:20" ht="15.75" customHeight="1">
      <c r="B798" s="5"/>
      <c r="C798" s="5"/>
      <c r="D798" s="5"/>
      <c r="E798" s="5"/>
      <c r="F798" s="5"/>
      <c r="P798" s="33"/>
      <c r="Q798" s="33"/>
      <c r="R798" s="33"/>
      <c r="S798" s="33"/>
      <c r="T798" s="33"/>
    </row>
    <row r="799" spans="2:20" ht="15.75" customHeight="1">
      <c r="B799" s="5"/>
      <c r="C799" s="5"/>
      <c r="D799" s="5"/>
      <c r="E799" s="5"/>
      <c r="F799" s="5"/>
      <c r="P799" s="33"/>
      <c r="Q799" s="33"/>
      <c r="R799" s="33"/>
      <c r="S799" s="33"/>
      <c r="T799" s="33"/>
    </row>
    <row r="800" spans="2:20" ht="15.75" customHeight="1">
      <c r="B800" s="5"/>
      <c r="C800" s="5"/>
      <c r="D800" s="5"/>
      <c r="E800" s="5"/>
      <c r="F800" s="5"/>
      <c r="P800" s="33"/>
      <c r="Q800" s="33"/>
      <c r="R800" s="33"/>
      <c r="S800" s="33"/>
      <c r="T800" s="33"/>
    </row>
    <row r="801" spans="2:20" ht="15.75" customHeight="1">
      <c r="B801" s="5"/>
      <c r="C801" s="5"/>
      <c r="D801" s="5"/>
      <c r="E801" s="5"/>
      <c r="F801" s="5"/>
      <c r="P801" s="33"/>
      <c r="Q801" s="33"/>
      <c r="R801" s="33"/>
      <c r="S801" s="33"/>
      <c r="T801" s="33"/>
    </row>
    <row r="802" spans="2:20" ht="15.75" customHeight="1">
      <c r="B802" s="5"/>
      <c r="C802" s="5"/>
      <c r="D802" s="5"/>
      <c r="E802" s="5"/>
      <c r="F802" s="5"/>
      <c r="P802" s="33"/>
      <c r="Q802" s="33"/>
      <c r="R802" s="33"/>
      <c r="S802" s="33"/>
      <c r="T802" s="33"/>
    </row>
    <row r="803" spans="2:20" ht="15.75" customHeight="1">
      <c r="B803" s="5"/>
      <c r="C803" s="5"/>
      <c r="D803" s="5"/>
      <c r="E803" s="5"/>
      <c r="F803" s="5"/>
      <c r="P803" s="33"/>
      <c r="Q803" s="33"/>
      <c r="R803" s="33"/>
      <c r="S803" s="33"/>
      <c r="T803" s="33"/>
    </row>
    <row r="804" spans="2:20" ht="15.75" customHeight="1">
      <c r="B804" s="5"/>
      <c r="C804" s="5"/>
      <c r="D804" s="5"/>
      <c r="E804" s="5"/>
      <c r="F804" s="5"/>
      <c r="P804" s="33"/>
      <c r="Q804" s="33"/>
      <c r="R804" s="33"/>
      <c r="S804" s="33"/>
      <c r="T804" s="33"/>
    </row>
    <row r="805" spans="2:20" ht="15.75" customHeight="1">
      <c r="B805" s="5"/>
      <c r="C805" s="5"/>
      <c r="D805" s="5"/>
      <c r="E805" s="5"/>
      <c r="F805" s="5"/>
      <c r="P805" s="33"/>
      <c r="Q805" s="33"/>
      <c r="R805" s="33"/>
      <c r="S805" s="33"/>
      <c r="T805" s="33"/>
    </row>
    <row r="806" spans="2:20" ht="15.75" customHeight="1">
      <c r="B806" s="5"/>
      <c r="C806" s="5"/>
      <c r="D806" s="5"/>
      <c r="E806" s="5"/>
      <c r="F806" s="5"/>
      <c r="P806" s="33"/>
      <c r="Q806" s="33"/>
      <c r="R806" s="33"/>
      <c r="S806" s="33"/>
      <c r="T806" s="33"/>
    </row>
    <row r="807" spans="2:20" ht="15.75" customHeight="1">
      <c r="B807" s="5"/>
      <c r="C807" s="5"/>
      <c r="D807" s="5"/>
      <c r="E807" s="5"/>
      <c r="F807" s="5"/>
      <c r="P807" s="33"/>
      <c r="Q807" s="33"/>
      <c r="R807" s="33"/>
      <c r="S807" s="33"/>
      <c r="T807" s="33"/>
    </row>
    <row r="808" spans="2:20" ht="15.75" customHeight="1">
      <c r="B808" s="5"/>
      <c r="C808" s="5"/>
      <c r="D808" s="5"/>
      <c r="E808" s="5"/>
      <c r="F808" s="5"/>
      <c r="P808" s="33"/>
      <c r="Q808" s="33"/>
      <c r="R808" s="33"/>
      <c r="S808" s="33"/>
      <c r="T808" s="33"/>
    </row>
    <row r="809" spans="2:20" ht="15.75" customHeight="1">
      <c r="B809" s="5"/>
      <c r="C809" s="5"/>
      <c r="D809" s="5"/>
      <c r="E809" s="5"/>
      <c r="F809" s="5"/>
      <c r="P809" s="33"/>
      <c r="Q809" s="33"/>
      <c r="R809" s="33"/>
      <c r="S809" s="33"/>
      <c r="T809" s="33"/>
    </row>
    <row r="810" spans="2:20" ht="15.75" customHeight="1">
      <c r="B810" s="5"/>
      <c r="C810" s="5"/>
      <c r="D810" s="5"/>
      <c r="E810" s="5"/>
      <c r="F810" s="5"/>
      <c r="P810" s="33"/>
      <c r="Q810" s="33"/>
      <c r="R810" s="33"/>
      <c r="S810" s="33"/>
      <c r="T810" s="33"/>
    </row>
    <row r="811" spans="2:20" ht="15.75" customHeight="1">
      <c r="B811" s="5"/>
      <c r="C811" s="5"/>
      <c r="D811" s="5"/>
      <c r="E811" s="5"/>
      <c r="F811" s="5"/>
      <c r="P811" s="33"/>
      <c r="Q811" s="33"/>
      <c r="R811" s="33"/>
      <c r="S811" s="33"/>
      <c r="T811" s="33"/>
    </row>
    <row r="812" spans="2:20" ht="15.75" customHeight="1">
      <c r="B812" s="5"/>
      <c r="C812" s="5"/>
      <c r="D812" s="5"/>
      <c r="E812" s="5"/>
      <c r="F812" s="5"/>
      <c r="P812" s="33"/>
      <c r="Q812" s="33"/>
      <c r="R812" s="33"/>
      <c r="S812" s="33"/>
      <c r="T812" s="33"/>
    </row>
    <row r="813" spans="2:20" ht="15.75" customHeight="1">
      <c r="B813" s="5"/>
      <c r="C813" s="5"/>
      <c r="D813" s="5"/>
      <c r="E813" s="5"/>
      <c r="F813" s="5"/>
      <c r="P813" s="33"/>
      <c r="Q813" s="33"/>
      <c r="R813" s="33"/>
      <c r="S813" s="33"/>
      <c r="T813" s="33"/>
    </row>
    <row r="814" spans="2:20" ht="15.75" customHeight="1">
      <c r="B814" s="5"/>
      <c r="C814" s="5"/>
      <c r="D814" s="5"/>
      <c r="E814" s="5"/>
      <c r="F814" s="5"/>
      <c r="P814" s="33"/>
      <c r="Q814" s="33"/>
      <c r="R814" s="33"/>
      <c r="S814" s="33"/>
      <c r="T814" s="33"/>
    </row>
    <row r="815" spans="2:20" ht="15.75" customHeight="1">
      <c r="B815" s="5"/>
      <c r="C815" s="5"/>
      <c r="D815" s="5"/>
      <c r="E815" s="5"/>
      <c r="F815" s="5"/>
      <c r="P815" s="33"/>
      <c r="Q815" s="33"/>
      <c r="R815" s="33"/>
      <c r="S815" s="33"/>
      <c r="T815" s="33"/>
    </row>
    <row r="816" spans="2:20" ht="15.75" customHeight="1">
      <c r="B816" s="5"/>
      <c r="C816" s="5"/>
      <c r="D816" s="5"/>
      <c r="E816" s="5"/>
      <c r="F816" s="5"/>
      <c r="P816" s="33"/>
      <c r="Q816" s="33"/>
      <c r="R816" s="33"/>
      <c r="S816" s="33"/>
      <c r="T816" s="33"/>
    </row>
    <row r="817" spans="2:20" ht="15.75" customHeight="1">
      <c r="B817" s="5"/>
      <c r="C817" s="5"/>
      <c r="D817" s="5"/>
      <c r="E817" s="5"/>
      <c r="F817" s="5"/>
      <c r="P817" s="33"/>
      <c r="Q817" s="33"/>
      <c r="R817" s="33"/>
      <c r="S817" s="33"/>
      <c r="T817" s="33"/>
    </row>
    <row r="818" spans="2:20" ht="15.75" customHeight="1">
      <c r="B818" s="5"/>
      <c r="C818" s="5"/>
      <c r="D818" s="5"/>
      <c r="E818" s="5"/>
      <c r="F818" s="5"/>
      <c r="P818" s="33"/>
      <c r="Q818" s="33"/>
      <c r="R818" s="33"/>
      <c r="S818" s="33"/>
      <c r="T818" s="33"/>
    </row>
    <row r="819" spans="2:20" ht="15.75" customHeight="1">
      <c r="B819" s="5"/>
      <c r="C819" s="5"/>
      <c r="D819" s="5"/>
      <c r="E819" s="5"/>
      <c r="F819" s="5"/>
      <c r="P819" s="33"/>
      <c r="Q819" s="33"/>
      <c r="R819" s="33"/>
      <c r="S819" s="33"/>
      <c r="T819" s="33"/>
    </row>
    <row r="820" spans="2:20" ht="15.75" customHeight="1">
      <c r="B820" s="5"/>
      <c r="C820" s="5"/>
      <c r="D820" s="5"/>
      <c r="E820" s="5"/>
      <c r="F820" s="5"/>
      <c r="P820" s="33"/>
      <c r="Q820" s="33"/>
      <c r="R820" s="33"/>
      <c r="S820" s="33"/>
      <c r="T820" s="33"/>
    </row>
    <row r="821" spans="2:20" ht="15.75" customHeight="1">
      <c r="B821" s="5"/>
      <c r="C821" s="5"/>
      <c r="D821" s="5"/>
      <c r="E821" s="5"/>
      <c r="F821" s="5"/>
      <c r="P821" s="33"/>
      <c r="Q821" s="33"/>
      <c r="R821" s="33"/>
      <c r="S821" s="33"/>
      <c r="T821" s="33"/>
    </row>
    <row r="822" spans="2:20" ht="15.75" customHeight="1">
      <c r="B822" s="5"/>
      <c r="C822" s="5"/>
      <c r="D822" s="5"/>
      <c r="E822" s="5"/>
      <c r="F822" s="5"/>
      <c r="P822" s="33"/>
      <c r="Q822" s="33"/>
      <c r="R822" s="33"/>
      <c r="S822" s="33"/>
      <c r="T822" s="33"/>
    </row>
    <row r="823" spans="2:20" ht="15.75" customHeight="1">
      <c r="B823" s="5"/>
      <c r="C823" s="5"/>
      <c r="D823" s="5"/>
      <c r="E823" s="5"/>
      <c r="F823" s="5"/>
      <c r="P823" s="33"/>
      <c r="Q823" s="33"/>
      <c r="R823" s="33"/>
      <c r="S823" s="33"/>
      <c r="T823" s="33"/>
    </row>
    <row r="824" spans="2:20" ht="15.75" customHeight="1">
      <c r="B824" s="5"/>
      <c r="C824" s="5"/>
      <c r="D824" s="5"/>
      <c r="E824" s="5"/>
      <c r="F824" s="5"/>
      <c r="P824" s="33"/>
      <c r="Q824" s="33"/>
      <c r="R824" s="33"/>
      <c r="S824" s="33"/>
      <c r="T824" s="33"/>
    </row>
    <row r="825" spans="2:20" ht="15.75" customHeight="1">
      <c r="B825" s="5"/>
      <c r="C825" s="5"/>
      <c r="D825" s="5"/>
      <c r="E825" s="5"/>
      <c r="F825" s="5"/>
      <c r="P825" s="33"/>
      <c r="Q825" s="33"/>
      <c r="R825" s="33"/>
      <c r="S825" s="33"/>
      <c r="T825" s="33"/>
    </row>
    <row r="826" spans="2:20" ht="15.75" customHeight="1">
      <c r="B826" s="5"/>
      <c r="C826" s="5"/>
      <c r="D826" s="5"/>
      <c r="E826" s="5"/>
      <c r="F826" s="5"/>
      <c r="P826" s="33"/>
      <c r="Q826" s="33"/>
      <c r="R826" s="33"/>
      <c r="S826" s="33"/>
      <c r="T826" s="33"/>
    </row>
    <row r="827" spans="2:20" ht="15.75" customHeight="1">
      <c r="B827" s="5"/>
      <c r="C827" s="5"/>
      <c r="D827" s="5"/>
      <c r="E827" s="5"/>
      <c r="F827" s="5"/>
      <c r="P827" s="33"/>
      <c r="Q827" s="33"/>
      <c r="R827" s="33"/>
      <c r="S827" s="33"/>
      <c r="T827" s="33"/>
    </row>
    <row r="828" spans="2:20" ht="15.75" customHeight="1">
      <c r="B828" s="5"/>
      <c r="C828" s="5"/>
      <c r="D828" s="5"/>
      <c r="E828" s="5"/>
      <c r="F828" s="5"/>
      <c r="P828" s="33"/>
      <c r="Q828" s="33"/>
      <c r="R828" s="33"/>
      <c r="S828" s="33"/>
      <c r="T828" s="33"/>
    </row>
    <row r="829" spans="2:20" ht="15.75" customHeight="1">
      <c r="B829" s="5"/>
      <c r="C829" s="5"/>
      <c r="D829" s="5"/>
      <c r="E829" s="5"/>
      <c r="F829" s="5"/>
      <c r="P829" s="33"/>
      <c r="Q829" s="33"/>
      <c r="R829" s="33"/>
      <c r="S829" s="33"/>
      <c r="T829" s="33"/>
    </row>
    <row r="830" spans="2:20" ht="15.75" customHeight="1">
      <c r="B830" s="5"/>
      <c r="C830" s="5"/>
      <c r="D830" s="5"/>
      <c r="E830" s="5"/>
      <c r="F830" s="5"/>
      <c r="P830" s="33"/>
      <c r="Q830" s="33"/>
      <c r="R830" s="33"/>
      <c r="S830" s="33"/>
      <c r="T830" s="33"/>
    </row>
    <row r="831" spans="2:20" ht="15.75" customHeight="1">
      <c r="B831" s="5"/>
      <c r="C831" s="5"/>
      <c r="D831" s="5"/>
      <c r="E831" s="5"/>
      <c r="F831" s="5"/>
      <c r="P831" s="33"/>
      <c r="Q831" s="33"/>
      <c r="R831" s="33"/>
      <c r="S831" s="33"/>
      <c r="T831" s="33"/>
    </row>
    <row r="832" spans="2:20" ht="15.75" customHeight="1">
      <c r="B832" s="5"/>
      <c r="C832" s="5"/>
      <c r="D832" s="5"/>
      <c r="E832" s="5"/>
      <c r="F832" s="5"/>
      <c r="P832" s="33"/>
      <c r="Q832" s="33"/>
      <c r="R832" s="33"/>
      <c r="S832" s="33"/>
      <c r="T832" s="33"/>
    </row>
    <row r="833" spans="2:20" ht="15.75" customHeight="1">
      <c r="B833" s="5"/>
      <c r="C833" s="5"/>
      <c r="D833" s="5"/>
      <c r="E833" s="5"/>
      <c r="F833" s="5"/>
      <c r="P833" s="33"/>
      <c r="Q833" s="33"/>
      <c r="R833" s="33"/>
      <c r="S833" s="33"/>
      <c r="T833" s="33"/>
    </row>
    <row r="834" spans="2:20" ht="15.75" customHeight="1">
      <c r="B834" s="5"/>
      <c r="C834" s="5"/>
      <c r="D834" s="5"/>
      <c r="E834" s="5"/>
      <c r="F834" s="5"/>
      <c r="P834" s="33"/>
      <c r="Q834" s="33"/>
      <c r="R834" s="33"/>
      <c r="S834" s="33"/>
      <c r="T834" s="33"/>
    </row>
    <row r="835" spans="2:20" ht="15.75" customHeight="1">
      <c r="B835" s="5"/>
      <c r="C835" s="5"/>
      <c r="D835" s="5"/>
      <c r="E835" s="5"/>
      <c r="F835" s="5"/>
      <c r="P835" s="33"/>
      <c r="Q835" s="33"/>
      <c r="R835" s="33"/>
      <c r="S835" s="33"/>
      <c r="T835" s="33"/>
    </row>
    <row r="836" spans="2:20" ht="15.75" customHeight="1">
      <c r="B836" s="5"/>
      <c r="C836" s="5"/>
      <c r="D836" s="5"/>
      <c r="E836" s="5"/>
      <c r="F836" s="5"/>
      <c r="P836" s="33"/>
      <c r="Q836" s="33"/>
      <c r="R836" s="33"/>
      <c r="S836" s="33"/>
      <c r="T836" s="33"/>
    </row>
    <row r="837" spans="2:20" ht="15.75" customHeight="1">
      <c r="B837" s="5"/>
      <c r="C837" s="5"/>
      <c r="D837" s="5"/>
      <c r="E837" s="5"/>
      <c r="F837" s="5"/>
      <c r="P837" s="33"/>
      <c r="Q837" s="33"/>
      <c r="R837" s="33"/>
      <c r="S837" s="33"/>
      <c r="T837" s="33"/>
    </row>
    <row r="838" spans="2:20" ht="15.75" customHeight="1">
      <c r="B838" s="5"/>
      <c r="C838" s="5"/>
      <c r="D838" s="5"/>
      <c r="E838" s="5"/>
      <c r="F838" s="5"/>
      <c r="P838" s="33"/>
      <c r="Q838" s="33"/>
      <c r="R838" s="33"/>
      <c r="S838" s="33"/>
      <c r="T838" s="33"/>
    </row>
    <row r="839" spans="2:20" ht="15.75" customHeight="1">
      <c r="B839" s="5"/>
      <c r="C839" s="5"/>
      <c r="D839" s="5"/>
      <c r="E839" s="5"/>
      <c r="F839" s="5"/>
      <c r="P839" s="33"/>
      <c r="Q839" s="33"/>
      <c r="R839" s="33"/>
      <c r="S839" s="33"/>
      <c r="T839" s="33"/>
    </row>
    <row r="840" spans="2:20" ht="15.75" customHeight="1">
      <c r="B840" s="5"/>
      <c r="C840" s="5"/>
      <c r="D840" s="5"/>
      <c r="E840" s="5"/>
      <c r="F840" s="5"/>
      <c r="P840" s="33"/>
      <c r="Q840" s="33"/>
      <c r="R840" s="33"/>
      <c r="S840" s="33"/>
      <c r="T840" s="33"/>
    </row>
    <row r="841" spans="2:20" ht="15.75" customHeight="1">
      <c r="B841" s="5"/>
      <c r="C841" s="5"/>
      <c r="D841" s="5"/>
      <c r="E841" s="5"/>
      <c r="F841" s="5"/>
      <c r="P841" s="33"/>
      <c r="Q841" s="33"/>
      <c r="R841" s="33"/>
      <c r="S841" s="33"/>
      <c r="T841" s="33"/>
    </row>
    <row r="842" spans="2:20" ht="15.75" customHeight="1">
      <c r="B842" s="5"/>
      <c r="C842" s="5"/>
      <c r="D842" s="5"/>
      <c r="E842" s="5"/>
      <c r="F842" s="5"/>
      <c r="P842" s="33"/>
      <c r="Q842" s="33"/>
      <c r="R842" s="33"/>
      <c r="S842" s="33"/>
      <c r="T842" s="33"/>
    </row>
    <row r="843" spans="2:20" ht="15.75" customHeight="1">
      <c r="B843" s="5"/>
      <c r="C843" s="5"/>
      <c r="D843" s="5"/>
      <c r="E843" s="5"/>
      <c r="F843" s="5"/>
      <c r="P843" s="33"/>
      <c r="Q843" s="33"/>
      <c r="R843" s="33"/>
      <c r="S843" s="33"/>
      <c r="T843" s="33"/>
    </row>
    <row r="844" spans="2:20" ht="15.75" customHeight="1">
      <c r="B844" s="5"/>
      <c r="C844" s="5"/>
      <c r="D844" s="5"/>
      <c r="E844" s="5"/>
      <c r="F844" s="5"/>
      <c r="P844" s="33"/>
      <c r="Q844" s="33"/>
      <c r="R844" s="33"/>
      <c r="S844" s="33"/>
      <c r="T844" s="33"/>
    </row>
    <row r="845" spans="2:20" ht="15.75" customHeight="1">
      <c r="B845" s="5"/>
      <c r="C845" s="5"/>
      <c r="D845" s="5"/>
      <c r="E845" s="5"/>
      <c r="F845" s="5"/>
      <c r="P845" s="33"/>
      <c r="Q845" s="33"/>
      <c r="R845" s="33"/>
      <c r="S845" s="33"/>
      <c r="T845" s="33"/>
    </row>
    <row r="846" spans="2:20" ht="15.75" customHeight="1">
      <c r="B846" s="5"/>
      <c r="C846" s="5"/>
      <c r="D846" s="5"/>
      <c r="E846" s="5"/>
      <c r="F846" s="5"/>
      <c r="P846" s="33"/>
      <c r="Q846" s="33"/>
      <c r="R846" s="33"/>
      <c r="S846" s="33"/>
      <c r="T846" s="33"/>
    </row>
    <row r="847" spans="2:20" ht="15.75" customHeight="1">
      <c r="B847" s="5"/>
      <c r="C847" s="5"/>
      <c r="D847" s="5"/>
      <c r="E847" s="5"/>
      <c r="F847" s="5"/>
      <c r="P847" s="33"/>
      <c r="Q847" s="33"/>
      <c r="R847" s="33"/>
      <c r="S847" s="33"/>
      <c r="T847" s="33"/>
    </row>
    <row r="848" spans="2:20" ht="15.75" customHeight="1">
      <c r="B848" s="5"/>
      <c r="C848" s="5"/>
      <c r="D848" s="5"/>
      <c r="E848" s="5"/>
      <c r="F848" s="5"/>
      <c r="P848" s="33"/>
      <c r="Q848" s="33"/>
      <c r="R848" s="33"/>
      <c r="S848" s="33"/>
      <c r="T848" s="33"/>
    </row>
    <row r="849" spans="2:20" ht="15.75" customHeight="1">
      <c r="B849" s="5"/>
      <c r="C849" s="5"/>
      <c r="D849" s="5"/>
      <c r="E849" s="5"/>
      <c r="F849" s="5"/>
      <c r="P849" s="33"/>
      <c r="Q849" s="33"/>
      <c r="R849" s="33"/>
      <c r="S849" s="33"/>
      <c r="T849" s="33"/>
    </row>
    <row r="850" spans="2:20" ht="15.75" customHeight="1">
      <c r="B850" s="5"/>
      <c r="C850" s="5"/>
      <c r="D850" s="5"/>
      <c r="E850" s="5"/>
      <c r="F850" s="5"/>
      <c r="P850" s="33"/>
      <c r="Q850" s="33"/>
      <c r="R850" s="33"/>
      <c r="S850" s="33"/>
      <c r="T850" s="33"/>
    </row>
    <row r="851" spans="2:20" ht="15.75" customHeight="1">
      <c r="B851" s="5"/>
      <c r="C851" s="5"/>
      <c r="D851" s="5"/>
      <c r="E851" s="5"/>
      <c r="F851" s="5"/>
      <c r="P851" s="33"/>
      <c r="Q851" s="33"/>
      <c r="R851" s="33"/>
      <c r="S851" s="33"/>
      <c r="T851" s="33"/>
    </row>
    <row r="852" spans="2:20" ht="15.75" customHeight="1">
      <c r="B852" s="5"/>
      <c r="C852" s="5"/>
      <c r="D852" s="5"/>
      <c r="E852" s="5"/>
      <c r="F852" s="5"/>
      <c r="P852" s="33"/>
      <c r="Q852" s="33"/>
      <c r="R852" s="33"/>
      <c r="S852" s="33"/>
      <c r="T852" s="33"/>
    </row>
    <row r="853" spans="2:20" ht="15.75" customHeight="1">
      <c r="B853" s="5"/>
      <c r="C853" s="5"/>
      <c r="D853" s="5"/>
      <c r="E853" s="5"/>
      <c r="F853" s="5"/>
      <c r="P853" s="33"/>
      <c r="Q853" s="33"/>
      <c r="R853" s="33"/>
      <c r="S853" s="33"/>
      <c r="T853" s="33"/>
    </row>
    <row r="854" spans="2:20" ht="15.75" customHeight="1">
      <c r="B854" s="5"/>
      <c r="C854" s="5"/>
      <c r="D854" s="5"/>
      <c r="E854" s="5"/>
      <c r="F854" s="5"/>
      <c r="P854" s="33"/>
      <c r="Q854" s="33"/>
      <c r="R854" s="33"/>
      <c r="S854" s="33"/>
      <c r="T854" s="33"/>
    </row>
    <row r="855" spans="2:20" ht="15.75" customHeight="1">
      <c r="B855" s="5"/>
      <c r="C855" s="5"/>
      <c r="D855" s="5"/>
      <c r="E855" s="5"/>
      <c r="F855" s="5"/>
      <c r="P855" s="33"/>
      <c r="Q855" s="33"/>
      <c r="R855" s="33"/>
      <c r="S855" s="33"/>
      <c r="T855" s="33"/>
    </row>
    <row r="856" spans="2:20" ht="15.75" customHeight="1">
      <c r="B856" s="5"/>
      <c r="C856" s="5"/>
      <c r="D856" s="5"/>
      <c r="E856" s="5"/>
      <c r="F856" s="5"/>
      <c r="P856" s="33"/>
      <c r="Q856" s="33"/>
      <c r="R856" s="33"/>
      <c r="S856" s="33"/>
      <c r="T856" s="33"/>
    </row>
    <row r="857" spans="2:20" ht="15.75" customHeight="1">
      <c r="B857" s="5"/>
      <c r="C857" s="5"/>
      <c r="D857" s="5"/>
      <c r="E857" s="5"/>
      <c r="F857" s="5"/>
      <c r="P857" s="33"/>
      <c r="Q857" s="33"/>
      <c r="R857" s="33"/>
      <c r="S857" s="33"/>
      <c r="T857" s="33"/>
    </row>
    <row r="858" spans="2:20" ht="15.75" customHeight="1">
      <c r="B858" s="5"/>
      <c r="C858" s="5"/>
      <c r="D858" s="5"/>
      <c r="E858" s="5"/>
      <c r="F858" s="5"/>
      <c r="P858" s="33"/>
      <c r="Q858" s="33"/>
      <c r="R858" s="33"/>
      <c r="S858" s="33"/>
      <c r="T858" s="33"/>
    </row>
    <row r="859" spans="2:20" ht="15.75" customHeight="1">
      <c r="B859" s="5"/>
      <c r="C859" s="5"/>
      <c r="D859" s="5"/>
      <c r="E859" s="5"/>
      <c r="F859" s="5"/>
      <c r="P859" s="33"/>
      <c r="Q859" s="33"/>
      <c r="R859" s="33"/>
      <c r="S859" s="33"/>
      <c r="T859" s="33"/>
    </row>
    <row r="860" spans="2:20" ht="15.75" customHeight="1">
      <c r="B860" s="5"/>
      <c r="C860" s="5"/>
      <c r="D860" s="5"/>
      <c r="E860" s="5"/>
      <c r="F860" s="5"/>
      <c r="P860" s="33"/>
      <c r="Q860" s="33"/>
      <c r="R860" s="33"/>
      <c r="S860" s="33"/>
      <c r="T860" s="33"/>
    </row>
    <row r="861" spans="2:20" ht="15.75" customHeight="1">
      <c r="B861" s="5"/>
      <c r="C861" s="5"/>
      <c r="D861" s="5"/>
      <c r="E861" s="5"/>
      <c r="F861" s="5"/>
      <c r="P861" s="33"/>
      <c r="Q861" s="33"/>
      <c r="R861" s="33"/>
      <c r="S861" s="33"/>
      <c r="T861" s="33"/>
    </row>
    <row r="862" spans="2:20" ht="15.75" customHeight="1">
      <c r="B862" s="5"/>
      <c r="C862" s="5"/>
      <c r="D862" s="5"/>
      <c r="E862" s="5"/>
      <c r="F862" s="5"/>
      <c r="P862" s="33"/>
      <c r="Q862" s="33"/>
      <c r="R862" s="33"/>
      <c r="S862" s="33"/>
      <c r="T862" s="33"/>
    </row>
    <row r="863" spans="2:20" ht="15.75" customHeight="1">
      <c r="B863" s="5"/>
      <c r="C863" s="5"/>
      <c r="D863" s="5"/>
      <c r="E863" s="5"/>
      <c r="F863" s="5"/>
      <c r="P863" s="33"/>
      <c r="Q863" s="33"/>
      <c r="R863" s="33"/>
      <c r="S863" s="33"/>
      <c r="T863" s="33"/>
    </row>
    <row r="864" spans="2:20" ht="15.75" customHeight="1">
      <c r="B864" s="5"/>
      <c r="C864" s="5"/>
      <c r="D864" s="5"/>
      <c r="E864" s="5"/>
      <c r="F864" s="5"/>
      <c r="P864" s="33"/>
      <c r="Q864" s="33"/>
      <c r="R864" s="33"/>
      <c r="S864" s="33"/>
      <c r="T864" s="33"/>
    </row>
    <row r="865" spans="2:20" ht="15.75" customHeight="1">
      <c r="B865" s="5"/>
      <c r="C865" s="5"/>
      <c r="D865" s="5"/>
      <c r="E865" s="5"/>
      <c r="F865" s="5"/>
      <c r="P865" s="33"/>
      <c r="Q865" s="33"/>
      <c r="R865" s="33"/>
      <c r="S865" s="33"/>
      <c r="T865" s="33"/>
    </row>
    <row r="866" spans="2:20" ht="15.75" customHeight="1">
      <c r="B866" s="5"/>
      <c r="C866" s="5"/>
      <c r="D866" s="5"/>
      <c r="E866" s="5"/>
      <c r="F866" s="5"/>
      <c r="P866" s="33"/>
      <c r="Q866" s="33"/>
      <c r="R866" s="33"/>
      <c r="S866" s="33"/>
      <c r="T866" s="33"/>
    </row>
    <row r="867" spans="2:20" ht="15.75" customHeight="1">
      <c r="B867" s="5"/>
      <c r="C867" s="5"/>
      <c r="D867" s="5"/>
      <c r="E867" s="5"/>
      <c r="F867" s="5"/>
      <c r="P867" s="33"/>
      <c r="Q867" s="33"/>
      <c r="R867" s="33"/>
      <c r="S867" s="33"/>
      <c r="T867" s="33"/>
    </row>
    <row r="868" spans="2:20" ht="15.75" customHeight="1">
      <c r="B868" s="5"/>
      <c r="C868" s="5"/>
      <c r="D868" s="5"/>
      <c r="E868" s="5"/>
      <c r="F868" s="5"/>
      <c r="P868" s="33"/>
      <c r="Q868" s="33"/>
      <c r="R868" s="33"/>
      <c r="S868" s="33"/>
      <c r="T868" s="33"/>
    </row>
    <row r="869" spans="2:20" ht="15.75" customHeight="1">
      <c r="B869" s="5"/>
      <c r="C869" s="5"/>
      <c r="D869" s="5"/>
      <c r="E869" s="5"/>
      <c r="F869" s="5"/>
      <c r="P869" s="33"/>
      <c r="Q869" s="33"/>
      <c r="R869" s="33"/>
      <c r="S869" s="33"/>
      <c r="T869" s="33"/>
    </row>
    <row r="870" spans="2:20" ht="15.75" customHeight="1">
      <c r="B870" s="5"/>
      <c r="C870" s="5"/>
      <c r="D870" s="5"/>
      <c r="E870" s="5"/>
      <c r="F870" s="5"/>
      <c r="P870" s="33"/>
      <c r="Q870" s="33"/>
      <c r="R870" s="33"/>
      <c r="S870" s="33"/>
      <c r="T870" s="33"/>
    </row>
    <row r="871" spans="2:20" ht="15.75" customHeight="1">
      <c r="B871" s="5"/>
      <c r="C871" s="5"/>
      <c r="D871" s="5"/>
      <c r="E871" s="5"/>
      <c r="F871" s="5"/>
      <c r="P871" s="33"/>
      <c r="Q871" s="33"/>
      <c r="R871" s="33"/>
      <c r="S871" s="33"/>
      <c r="T871" s="33"/>
    </row>
    <row r="872" spans="2:20" ht="15.75" customHeight="1">
      <c r="B872" s="5"/>
      <c r="C872" s="5"/>
      <c r="D872" s="5"/>
      <c r="E872" s="5"/>
      <c r="F872" s="5"/>
      <c r="P872" s="33"/>
      <c r="Q872" s="33"/>
      <c r="R872" s="33"/>
      <c r="S872" s="33"/>
      <c r="T872" s="33"/>
    </row>
    <row r="873" spans="2:20" ht="15.75" customHeight="1">
      <c r="B873" s="5"/>
      <c r="C873" s="5"/>
      <c r="D873" s="5"/>
      <c r="E873" s="5"/>
      <c r="F873" s="5"/>
      <c r="P873" s="33"/>
      <c r="Q873" s="33"/>
      <c r="R873" s="33"/>
      <c r="S873" s="33"/>
      <c r="T873" s="33"/>
    </row>
    <row r="874" spans="2:20" ht="15.75" customHeight="1">
      <c r="B874" s="5"/>
      <c r="C874" s="5"/>
      <c r="D874" s="5"/>
      <c r="E874" s="5"/>
      <c r="F874" s="5"/>
      <c r="P874" s="33"/>
      <c r="Q874" s="33"/>
      <c r="R874" s="33"/>
      <c r="S874" s="33"/>
      <c r="T874" s="33"/>
    </row>
    <row r="875" spans="2:20" ht="15.75" customHeight="1">
      <c r="B875" s="5"/>
      <c r="C875" s="5"/>
      <c r="D875" s="5"/>
      <c r="E875" s="5"/>
      <c r="F875" s="5"/>
      <c r="P875" s="33"/>
      <c r="Q875" s="33"/>
      <c r="R875" s="33"/>
      <c r="S875" s="33"/>
      <c r="T875" s="33"/>
    </row>
    <row r="876" spans="2:20" ht="15.75" customHeight="1">
      <c r="B876" s="5"/>
      <c r="C876" s="5"/>
      <c r="D876" s="5"/>
      <c r="E876" s="5"/>
      <c r="F876" s="5"/>
      <c r="P876" s="33"/>
      <c r="Q876" s="33"/>
      <c r="R876" s="33"/>
      <c r="S876" s="33"/>
      <c r="T876" s="33"/>
    </row>
    <row r="877" spans="2:20" ht="15.75" customHeight="1">
      <c r="B877" s="5"/>
      <c r="C877" s="5"/>
      <c r="D877" s="5"/>
      <c r="E877" s="5"/>
      <c r="F877" s="5"/>
      <c r="P877" s="33"/>
      <c r="Q877" s="33"/>
      <c r="R877" s="33"/>
      <c r="S877" s="33"/>
      <c r="T877" s="33"/>
    </row>
    <row r="878" spans="2:20" ht="15.75" customHeight="1">
      <c r="B878" s="5"/>
      <c r="C878" s="5"/>
      <c r="D878" s="5"/>
      <c r="E878" s="5"/>
      <c r="F878" s="5"/>
      <c r="P878" s="33"/>
      <c r="Q878" s="33"/>
      <c r="R878" s="33"/>
      <c r="S878" s="33"/>
      <c r="T878" s="33"/>
    </row>
    <row r="879" spans="2:20" ht="15.75" customHeight="1">
      <c r="B879" s="5"/>
      <c r="C879" s="5"/>
      <c r="D879" s="5"/>
      <c r="E879" s="5"/>
      <c r="F879" s="5"/>
      <c r="P879" s="33"/>
      <c r="Q879" s="33"/>
      <c r="R879" s="33"/>
      <c r="S879" s="33"/>
      <c r="T879" s="33"/>
    </row>
    <row r="880" spans="2:20" ht="15.75" customHeight="1">
      <c r="B880" s="5"/>
      <c r="C880" s="5"/>
      <c r="D880" s="5"/>
      <c r="E880" s="5"/>
      <c r="F880" s="5"/>
      <c r="P880" s="33"/>
      <c r="Q880" s="33"/>
      <c r="R880" s="33"/>
      <c r="S880" s="33"/>
      <c r="T880" s="33"/>
    </row>
    <row r="881" spans="2:20" ht="15.75" customHeight="1">
      <c r="B881" s="5"/>
      <c r="C881" s="5"/>
      <c r="D881" s="5"/>
      <c r="E881" s="5"/>
      <c r="F881" s="5"/>
      <c r="P881" s="33"/>
      <c r="Q881" s="33"/>
      <c r="R881" s="33"/>
      <c r="S881" s="33"/>
      <c r="T881" s="33"/>
    </row>
    <row r="882" spans="2:20" ht="15.75" customHeight="1">
      <c r="B882" s="5"/>
      <c r="C882" s="5"/>
      <c r="D882" s="5"/>
      <c r="E882" s="5"/>
      <c r="F882" s="5"/>
      <c r="P882" s="33"/>
      <c r="Q882" s="33"/>
      <c r="R882" s="33"/>
      <c r="S882" s="33"/>
      <c r="T882" s="33"/>
    </row>
    <row r="883" spans="2:20" ht="15.75" customHeight="1">
      <c r="B883" s="5"/>
      <c r="C883" s="5"/>
      <c r="D883" s="5"/>
      <c r="E883" s="5"/>
      <c r="F883" s="5"/>
      <c r="P883" s="33"/>
      <c r="Q883" s="33"/>
      <c r="R883" s="33"/>
      <c r="S883" s="33"/>
      <c r="T883" s="33"/>
    </row>
    <row r="884" spans="2:20" ht="15.75" customHeight="1">
      <c r="B884" s="5"/>
      <c r="C884" s="5"/>
      <c r="D884" s="5"/>
      <c r="E884" s="5"/>
      <c r="F884" s="5"/>
      <c r="P884" s="33"/>
      <c r="Q884" s="33"/>
      <c r="R884" s="33"/>
      <c r="S884" s="33"/>
      <c r="T884" s="33"/>
    </row>
    <row r="885" spans="2:20" ht="15.75" customHeight="1">
      <c r="B885" s="5"/>
      <c r="C885" s="5"/>
      <c r="D885" s="5"/>
      <c r="E885" s="5"/>
      <c r="F885" s="5"/>
      <c r="P885" s="33"/>
      <c r="Q885" s="33"/>
      <c r="R885" s="33"/>
      <c r="S885" s="33"/>
      <c r="T885" s="33"/>
    </row>
    <row r="886" spans="2:20" ht="15.75" customHeight="1">
      <c r="B886" s="5"/>
      <c r="C886" s="5"/>
      <c r="D886" s="5"/>
      <c r="E886" s="5"/>
      <c r="F886" s="5"/>
      <c r="P886" s="33"/>
      <c r="Q886" s="33"/>
      <c r="R886" s="33"/>
      <c r="S886" s="33"/>
      <c r="T886" s="33"/>
    </row>
    <row r="887" spans="2:20" ht="15.75" customHeight="1">
      <c r="B887" s="5"/>
      <c r="C887" s="5"/>
      <c r="D887" s="5"/>
      <c r="E887" s="5"/>
      <c r="F887" s="5"/>
      <c r="P887" s="33"/>
      <c r="Q887" s="33"/>
      <c r="R887" s="33"/>
      <c r="S887" s="33"/>
      <c r="T887" s="33"/>
    </row>
    <row r="888" spans="2:20" ht="15.75" customHeight="1">
      <c r="B888" s="5"/>
      <c r="C888" s="5"/>
      <c r="D888" s="5"/>
      <c r="E888" s="5"/>
      <c r="F888" s="5"/>
      <c r="P888" s="33"/>
      <c r="Q888" s="33"/>
      <c r="R888" s="33"/>
      <c r="S888" s="33"/>
      <c r="T888" s="33"/>
    </row>
    <row r="889" spans="2:20" ht="15.75" customHeight="1">
      <c r="B889" s="5"/>
      <c r="C889" s="5"/>
      <c r="D889" s="5"/>
      <c r="E889" s="5"/>
      <c r="F889" s="5"/>
      <c r="P889" s="33"/>
      <c r="Q889" s="33"/>
      <c r="R889" s="33"/>
      <c r="S889" s="33"/>
      <c r="T889" s="33"/>
    </row>
    <row r="890" spans="2:20" ht="15.75" customHeight="1">
      <c r="B890" s="5"/>
      <c r="C890" s="5"/>
      <c r="D890" s="5"/>
      <c r="E890" s="5"/>
      <c r="F890" s="5"/>
      <c r="P890" s="33"/>
      <c r="Q890" s="33"/>
      <c r="R890" s="33"/>
      <c r="S890" s="33"/>
      <c r="T890" s="33"/>
    </row>
    <row r="891" spans="2:20" ht="15.75" customHeight="1">
      <c r="B891" s="5"/>
      <c r="C891" s="5"/>
      <c r="D891" s="5"/>
      <c r="E891" s="5"/>
      <c r="F891" s="5"/>
      <c r="P891" s="33"/>
      <c r="Q891" s="33"/>
      <c r="R891" s="33"/>
      <c r="S891" s="33"/>
      <c r="T891" s="33"/>
    </row>
    <row r="892" spans="2:20" ht="15.75" customHeight="1">
      <c r="B892" s="5"/>
      <c r="C892" s="5"/>
      <c r="D892" s="5"/>
      <c r="E892" s="5"/>
      <c r="F892" s="5"/>
      <c r="P892" s="33"/>
      <c r="Q892" s="33"/>
      <c r="R892" s="33"/>
      <c r="S892" s="33"/>
      <c r="T892" s="33"/>
    </row>
    <row r="893" spans="2:20" ht="15.75" customHeight="1">
      <c r="B893" s="5"/>
      <c r="C893" s="5"/>
      <c r="D893" s="5"/>
      <c r="E893" s="5"/>
      <c r="F893" s="5"/>
      <c r="P893" s="33"/>
      <c r="Q893" s="33"/>
      <c r="R893" s="33"/>
      <c r="S893" s="33"/>
      <c r="T893" s="33"/>
    </row>
    <row r="894" spans="2:20" ht="15.75" customHeight="1">
      <c r="B894" s="5"/>
      <c r="C894" s="5"/>
      <c r="D894" s="5"/>
      <c r="E894" s="5"/>
      <c r="F894" s="5"/>
      <c r="P894" s="33"/>
      <c r="Q894" s="33"/>
      <c r="R894" s="33"/>
      <c r="S894" s="33"/>
      <c r="T894" s="33"/>
    </row>
    <row r="895" spans="2:20" ht="15.75" customHeight="1">
      <c r="B895" s="5"/>
      <c r="C895" s="5"/>
      <c r="D895" s="5"/>
      <c r="E895" s="5"/>
      <c r="F895" s="5"/>
      <c r="P895" s="33"/>
      <c r="Q895" s="33"/>
      <c r="R895" s="33"/>
      <c r="S895" s="33"/>
      <c r="T895" s="33"/>
    </row>
    <row r="896" spans="2:20" ht="15.75" customHeight="1">
      <c r="B896" s="5"/>
      <c r="C896" s="5"/>
      <c r="D896" s="5"/>
      <c r="E896" s="5"/>
      <c r="F896" s="5"/>
      <c r="P896" s="33"/>
      <c r="Q896" s="33"/>
      <c r="R896" s="33"/>
      <c r="S896" s="33"/>
      <c r="T896" s="33"/>
    </row>
    <row r="897" spans="2:20" ht="15.75" customHeight="1">
      <c r="B897" s="5"/>
      <c r="C897" s="5"/>
      <c r="D897" s="5"/>
      <c r="E897" s="5"/>
      <c r="F897" s="5"/>
      <c r="P897" s="33"/>
      <c r="Q897" s="33"/>
      <c r="R897" s="33"/>
      <c r="S897" s="33"/>
      <c r="T897" s="33"/>
    </row>
    <row r="898" spans="2:20" ht="15.75" customHeight="1">
      <c r="B898" s="5"/>
      <c r="C898" s="5"/>
      <c r="D898" s="5"/>
      <c r="E898" s="5"/>
      <c r="F898" s="5"/>
      <c r="P898" s="33"/>
      <c r="Q898" s="33"/>
      <c r="R898" s="33"/>
      <c r="S898" s="33"/>
      <c r="T898" s="33"/>
    </row>
    <row r="899" spans="2:20" ht="15.75" customHeight="1">
      <c r="B899" s="5"/>
      <c r="C899" s="5"/>
      <c r="D899" s="5"/>
      <c r="E899" s="5"/>
      <c r="F899" s="5"/>
      <c r="P899" s="33"/>
      <c r="Q899" s="33"/>
      <c r="R899" s="33"/>
      <c r="S899" s="33"/>
      <c r="T899" s="33"/>
    </row>
    <row r="900" spans="2:20" ht="15.75" customHeight="1">
      <c r="B900" s="5"/>
      <c r="C900" s="5"/>
      <c r="D900" s="5"/>
      <c r="E900" s="5"/>
      <c r="F900" s="5"/>
      <c r="P900" s="33"/>
      <c r="Q900" s="33"/>
      <c r="R900" s="33"/>
      <c r="S900" s="33"/>
      <c r="T900" s="33"/>
    </row>
    <row r="901" spans="2:20" ht="15.75" customHeight="1">
      <c r="B901" s="5"/>
      <c r="C901" s="5"/>
      <c r="D901" s="5"/>
      <c r="E901" s="5"/>
      <c r="F901" s="5"/>
      <c r="P901" s="33"/>
      <c r="Q901" s="33"/>
      <c r="R901" s="33"/>
      <c r="S901" s="33"/>
      <c r="T901" s="33"/>
    </row>
    <row r="902" spans="2:20" ht="15.75" customHeight="1">
      <c r="B902" s="5"/>
      <c r="C902" s="5"/>
      <c r="D902" s="5"/>
      <c r="E902" s="5"/>
      <c r="F902" s="5"/>
      <c r="P902" s="33"/>
      <c r="Q902" s="33"/>
      <c r="R902" s="33"/>
      <c r="S902" s="33"/>
      <c r="T902" s="33"/>
    </row>
    <row r="903" spans="2:20" ht="15.75" customHeight="1">
      <c r="B903" s="5"/>
      <c r="C903" s="5"/>
      <c r="D903" s="5"/>
      <c r="E903" s="5"/>
      <c r="F903" s="5"/>
      <c r="P903" s="33"/>
      <c r="Q903" s="33"/>
      <c r="R903" s="33"/>
      <c r="S903" s="33"/>
      <c r="T903" s="33"/>
    </row>
    <row r="904" spans="2:20" ht="15.75" customHeight="1">
      <c r="B904" s="5"/>
      <c r="C904" s="5"/>
      <c r="D904" s="5"/>
      <c r="E904" s="5"/>
      <c r="F904" s="5"/>
      <c r="P904" s="33"/>
      <c r="Q904" s="33"/>
      <c r="R904" s="33"/>
      <c r="S904" s="33"/>
      <c r="T904" s="33"/>
    </row>
    <row r="905" spans="2:20" ht="15.75" customHeight="1">
      <c r="B905" s="5"/>
      <c r="C905" s="5"/>
      <c r="D905" s="5"/>
      <c r="E905" s="5"/>
      <c r="F905" s="5"/>
      <c r="P905" s="33"/>
      <c r="Q905" s="33"/>
      <c r="R905" s="33"/>
      <c r="S905" s="33"/>
      <c r="T905" s="33"/>
    </row>
    <row r="906" spans="2:20" ht="15.75" customHeight="1">
      <c r="B906" s="5"/>
      <c r="C906" s="5"/>
      <c r="D906" s="5"/>
      <c r="E906" s="5"/>
      <c r="F906" s="5"/>
      <c r="P906" s="33"/>
      <c r="Q906" s="33"/>
      <c r="R906" s="33"/>
      <c r="S906" s="33"/>
      <c r="T906" s="33"/>
    </row>
    <row r="907" spans="2:20" ht="15.75" customHeight="1">
      <c r="B907" s="5"/>
      <c r="C907" s="5"/>
      <c r="D907" s="5"/>
      <c r="E907" s="5"/>
      <c r="F907" s="5"/>
      <c r="P907" s="33"/>
      <c r="Q907" s="33"/>
      <c r="R907" s="33"/>
      <c r="S907" s="33"/>
      <c r="T907" s="33"/>
    </row>
    <row r="908" spans="2:20" ht="15.75" customHeight="1">
      <c r="B908" s="5"/>
      <c r="C908" s="5"/>
      <c r="D908" s="5"/>
      <c r="E908" s="5"/>
      <c r="F908" s="5"/>
      <c r="P908" s="33"/>
      <c r="Q908" s="33"/>
      <c r="R908" s="33"/>
      <c r="S908" s="33"/>
      <c r="T908" s="33"/>
    </row>
    <row r="909" spans="2:20" ht="15.75" customHeight="1">
      <c r="B909" s="5"/>
      <c r="C909" s="5"/>
      <c r="D909" s="5"/>
      <c r="E909" s="5"/>
      <c r="F909" s="5"/>
      <c r="P909" s="33"/>
      <c r="Q909" s="33"/>
      <c r="R909" s="33"/>
      <c r="S909" s="33"/>
      <c r="T909" s="33"/>
    </row>
    <row r="910" spans="2:20" ht="15.75" customHeight="1">
      <c r="B910" s="5"/>
      <c r="C910" s="5"/>
      <c r="D910" s="5"/>
      <c r="E910" s="5"/>
      <c r="F910" s="5"/>
      <c r="P910" s="33"/>
      <c r="Q910" s="33"/>
      <c r="R910" s="33"/>
      <c r="S910" s="33"/>
      <c r="T910" s="33"/>
    </row>
    <row r="911" spans="2:20" ht="15.75" customHeight="1">
      <c r="B911" s="5"/>
      <c r="C911" s="5"/>
      <c r="D911" s="5"/>
      <c r="E911" s="5"/>
      <c r="F911" s="5"/>
      <c r="P911" s="33"/>
      <c r="Q911" s="33"/>
      <c r="R911" s="33"/>
      <c r="S911" s="33"/>
      <c r="T911" s="33"/>
    </row>
    <row r="912" spans="2:20" ht="15.75" customHeight="1">
      <c r="B912" s="5"/>
      <c r="C912" s="5"/>
      <c r="D912" s="5"/>
      <c r="E912" s="5"/>
      <c r="F912" s="5"/>
      <c r="P912" s="33"/>
      <c r="Q912" s="33"/>
      <c r="R912" s="33"/>
      <c r="S912" s="33"/>
      <c r="T912" s="33"/>
    </row>
    <row r="913" spans="2:20" ht="15.75" customHeight="1">
      <c r="B913" s="5"/>
      <c r="C913" s="5"/>
      <c r="D913" s="5"/>
      <c r="E913" s="5"/>
      <c r="F913" s="5"/>
      <c r="P913" s="33"/>
      <c r="Q913" s="33"/>
      <c r="R913" s="33"/>
      <c r="S913" s="33"/>
      <c r="T913" s="33"/>
    </row>
    <row r="914" spans="2:20" ht="15.75" customHeight="1">
      <c r="B914" s="5"/>
      <c r="C914" s="5"/>
      <c r="D914" s="5"/>
      <c r="E914" s="5"/>
      <c r="F914" s="5"/>
      <c r="P914" s="33"/>
      <c r="Q914" s="33"/>
      <c r="R914" s="33"/>
      <c r="S914" s="33"/>
      <c r="T914" s="33"/>
    </row>
    <row r="915" spans="2:20" ht="15.75" customHeight="1">
      <c r="B915" s="5"/>
      <c r="C915" s="5"/>
      <c r="D915" s="5"/>
      <c r="E915" s="5"/>
      <c r="F915" s="5"/>
      <c r="P915" s="33"/>
      <c r="Q915" s="33"/>
      <c r="R915" s="33"/>
      <c r="S915" s="33"/>
      <c r="T915" s="33"/>
    </row>
    <row r="916" spans="2:20" ht="15.75" customHeight="1">
      <c r="B916" s="5"/>
      <c r="C916" s="5"/>
      <c r="D916" s="5"/>
      <c r="E916" s="5"/>
      <c r="F916" s="5"/>
      <c r="P916" s="33"/>
      <c r="Q916" s="33"/>
      <c r="R916" s="33"/>
      <c r="S916" s="33"/>
      <c r="T916" s="33"/>
    </row>
    <row r="917" spans="2:20" ht="15.75" customHeight="1">
      <c r="B917" s="5"/>
      <c r="C917" s="5"/>
      <c r="D917" s="5"/>
      <c r="E917" s="5"/>
      <c r="F917" s="5"/>
      <c r="P917" s="33"/>
      <c r="Q917" s="33"/>
      <c r="R917" s="33"/>
      <c r="S917" s="33"/>
      <c r="T917" s="33"/>
    </row>
    <row r="918" spans="2:20" ht="15.75" customHeight="1">
      <c r="B918" s="5"/>
      <c r="C918" s="5"/>
      <c r="D918" s="5"/>
      <c r="E918" s="5"/>
      <c r="F918" s="5"/>
      <c r="P918" s="33"/>
      <c r="Q918" s="33"/>
      <c r="R918" s="33"/>
      <c r="S918" s="33"/>
      <c r="T918" s="33"/>
    </row>
    <row r="919" spans="2:20" ht="15.75" customHeight="1">
      <c r="B919" s="5"/>
      <c r="C919" s="5"/>
      <c r="D919" s="5"/>
      <c r="E919" s="5"/>
      <c r="F919" s="5"/>
      <c r="P919" s="33"/>
      <c r="Q919" s="33"/>
      <c r="R919" s="33"/>
      <c r="S919" s="33"/>
      <c r="T919" s="33"/>
    </row>
    <row r="920" spans="2:20" ht="15.75" customHeight="1">
      <c r="B920" s="5"/>
      <c r="C920" s="5"/>
      <c r="D920" s="5"/>
      <c r="E920" s="5"/>
      <c r="F920" s="5"/>
      <c r="P920" s="33"/>
      <c r="Q920" s="33"/>
      <c r="R920" s="33"/>
      <c r="S920" s="33"/>
      <c r="T920" s="33"/>
    </row>
    <row r="921" spans="2:20" ht="15.75" customHeight="1">
      <c r="B921" s="5"/>
      <c r="C921" s="5"/>
      <c r="D921" s="5"/>
      <c r="E921" s="5"/>
      <c r="F921" s="5"/>
      <c r="P921" s="33"/>
      <c r="Q921" s="33"/>
      <c r="R921" s="33"/>
      <c r="S921" s="33"/>
      <c r="T921" s="33"/>
    </row>
    <row r="922" spans="2:20" ht="15.75" customHeight="1">
      <c r="B922" s="5"/>
      <c r="C922" s="5"/>
      <c r="D922" s="5"/>
      <c r="E922" s="5"/>
      <c r="F922" s="5"/>
      <c r="P922" s="33"/>
      <c r="Q922" s="33"/>
      <c r="R922" s="33"/>
      <c r="S922" s="33"/>
      <c r="T922" s="33"/>
    </row>
    <row r="923" spans="2:20" ht="15.75" customHeight="1">
      <c r="B923" s="5"/>
      <c r="C923" s="5"/>
      <c r="D923" s="5"/>
      <c r="E923" s="5"/>
      <c r="F923" s="5"/>
      <c r="P923" s="33"/>
      <c r="Q923" s="33"/>
      <c r="R923" s="33"/>
      <c r="S923" s="33"/>
      <c r="T923" s="33"/>
    </row>
    <row r="924" spans="2:20" ht="15.75" customHeight="1">
      <c r="B924" s="5"/>
      <c r="C924" s="5"/>
      <c r="D924" s="5"/>
      <c r="E924" s="5"/>
      <c r="F924" s="5"/>
      <c r="P924" s="33"/>
      <c r="Q924" s="33"/>
      <c r="R924" s="33"/>
      <c r="S924" s="33"/>
      <c r="T924" s="33"/>
    </row>
    <row r="925" spans="2:20" ht="15.75" customHeight="1">
      <c r="B925" s="5"/>
      <c r="C925" s="5"/>
      <c r="D925" s="5"/>
      <c r="E925" s="5"/>
      <c r="F925" s="5"/>
      <c r="P925" s="33"/>
      <c r="Q925" s="33"/>
      <c r="R925" s="33"/>
      <c r="S925" s="33"/>
      <c r="T925" s="33"/>
    </row>
    <row r="926" spans="2:20" ht="15.75" customHeight="1">
      <c r="B926" s="5"/>
      <c r="C926" s="5"/>
      <c r="D926" s="5"/>
      <c r="E926" s="5"/>
      <c r="F926" s="5"/>
      <c r="P926" s="33"/>
      <c r="Q926" s="33"/>
      <c r="R926" s="33"/>
      <c r="S926" s="33"/>
      <c r="T926" s="33"/>
    </row>
    <row r="927" spans="2:20" ht="15.75" customHeight="1">
      <c r="B927" s="5"/>
      <c r="C927" s="5"/>
      <c r="D927" s="5"/>
      <c r="E927" s="5"/>
      <c r="F927" s="5"/>
      <c r="P927" s="33"/>
      <c r="Q927" s="33"/>
      <c r="R927" s="33"/>
      <c r="S927" s="33"/>
      <c r="T927" s="33"/>
    </row>
    <row r="928" spans="2:20" ht="15.75" customHeight="1">
      <c r="B928" s="5"/>
      <c r="C928" s="5"/>
      <c r="D928" s="5"/>
      <c r="E928" s="5"/>
      <c r="F928" s="5"/>
      <c r="P928" s="33"/>
      <c r="Q928" s="33"/>
      <c r="R928" s="33"/>
      <c r="S928" s="33"/>
      <c r="T928" s="33"/>
    </row>
    <row r="929" spans="2:20" ht="15.75" customHeight="1">
      <c r="B929" s="5"/>
      <c r="C929" s="5"/>
      <c r="D929" s="5"/>
      <c r="E929" s="5"/>
      <c r="F929" s="5"/>
      <c r="P929" s="33"/>
      <c r="Q929" s="33"/>
      <c r="R929" s="33"/>
      <c r="S929" s="33"/>
      <c r="T929" s="33"/>
    </row>
    <row r="930" spans="2:20" ht="15.75" customHeight="1">
      <c r="B930" s="5"/>
      <c r="C930" s="5"/>
      <c r="D930" s="5"/>
      <c r="E930" s="5"/>
      <c r="F930" s="5"/>
      <c r="P930" s="33"/>
      <c r="Q930" s="33"/>
      <c r="R930" s="33"/>
      <c r="S930" s="33"/>
      <c r="T930" s="33"/>
    </row>
    <row r="931" spans="2:20" ht="15.75" customHeight="1">
      <c r="B931" s="5"/>
      <c r="C931" s="5"/>
      <c r="D931" s="5"/>
      <c r="E931" s="5"/>
      <c r="F931" s="5"/>
      <c r="P931" s="33"/>
      <c r="Q931" s="33"/>
      <c r="R931" s="33"/>
      <c r="S931" s="33"/>
      <c r="T931" s="33"/>
    </row>
    <row r="932" spans="2:20" ht="15.75" customHeight="1">
      <c r="B932" s="5"/>
      <c r="C932" s="5"/>
      <c r="D932" s="5"/>
      <c r="E932" s="5"/>
      <c r="F932" s="5"/>
      <c r="P932" s="33"/>
      <c r="Q932" s="33"/>
      <c r="R932" s="33"/>
      <c r="S932" s="33"/>
      <c r="T932" s="33"/>
    </row>
    <row r="933" spans="2:20" ht="15.75" customHeight="1">
      <c r="B933" s="5"/>
      <c r="C933" s="5"/>
      <c r="D933" s="5"/>
      <c r="E933" s="5"/>
      <c r="F933" s="5"/>
      <c r="P933" s="33"/>
      <c r="Q933" s="33"/>
      <c r="R933" s="33"/>
      <c r="S933" s="33"/>
      <c r="T933" s="33"/>
    </row>
    <row r="934" spans="2:20" ht="15.75" customHeight="1">
      <c r="B934" s="5"/>
      <c r="C934" s="5"/>
      <c r="D934" s="5"/>
      <c r="E934" s="5"/>
      <c r="F934" s="5"/>
      <c r="P934" s="33"/>
      <c r="Q934" s="33"/>
      <c r="R934" s="33"/>
      <c r="S934" s="33"/>
      <c r="T934" s="33"/>
    </row>
    <row r="935" spans="2:20" ht="15.75" customHeight="1">
      <c r="B935" s="5"/>
      <c r="C935" s="5"/>
      <c r="D935" s="5"/>
      <c r="E935" s="5"/>
      <c r="F935" s="5"/>
      <c r="P935" s="33"/>
      <c r="Q935" s="33"/>
      <c r="R935" s="33"/>
      <c r="S935" s="33"/>
      <c r="T935" s="33"/>
    </row>
    <row r="936" spans="2:20" ht="15.75" customHeight="1">
      <c r="B936" s="5"/>
      <c r="C936" s="5"/>
      <c r="D936" s="5"/>
      <c r="E936" s="5"/>
      <c r="F936" s="5"/>
      <c r="P936" s="33"/>
      <c r="Q936" s="33"/>
      <c r="R936" s="33"/>
      <c r="S936" s="33"/>
      <c r="T936" s="33"/>
    </row>
    <row r="937" spans="2:20" ht="15.75" customHeight="1">
      <c r="B937" s="5"/>
      <c r="C937" s="5"/>
      <c r="D937" s="5"/>
      <c r="E937" s="5"/>
      <c r="F937" s="5"/>
      <c r="P937" s="33"/>
      <c r="Q937" s="33"/>
      <c r="R937" s="33"/>
      <c r="S937" s="33"/>
      <c r="T937" s="33"/>
    </row>
    <row r="938" spans="2:20" ht="15.75" customHeight="1">
      <c r="B938" s="5"/>
      <c r="C938" s="5"/>
      <c r="D938" s="5"/>
      <c r="E938" s="5"/>
      <c r="F938" s="5"/>
      <c r="P938" s="33"/>
      <c r="Q938" s="33"/>
      <c r="R938" s="33"/>
      <c r="S938" s="33"/>
      <c r="T938" s="33"/>
    </row>
    <row r="939" spans="2:20" ht="15.75" customHeight="1">
      <c r="B939" s="5"/>
      <c r="C939" s="5"/>
      <c r="D939" s="5"/>
      <c r="E939" s="5"/>
      <c r="F939" s="5"/>
      <c r="P939" s="33"/>
      <c r="Q939" s="33"/>
      <c r="R939" s="33"/>
      <c r="S939" s="33"/>
      <c r="T939" s="33"/>
    </row>
    <row r="940" spans="2:20" ht="15.75" customHeight="1">
      <c r="B940" s="5"/>
      <c r="C940" s="5"/>
      <c r="D940" s="5"/>
      <c r="E940" s="5"/>
      <c r="F940" s="5"/>
      <c r="P940" s="33"/>
      <c r="Q940" s="33"/>
      <c r="R940" s="33"/>
      <c r="S940" s="33"/>
      <c r="T940" s="33"/>
    </row>
    <row r="941" spans="2:20" ht="15.75" customHeight="1">
      <c r="B941" s="5"/>
      <c r="C941" s="5"/>
      <c r="D941" s="5"/>
      <c r="E941" s="5"/>
      <c r="F941" s="5"/>
      <c r="P941" s="33"/>
      <c r="Q941" s="33"/>
      <c r="R941" s="33"/>
      <c r="S941" s="33"/>
      <c r="T941" s="33"/>
    </row>
    <row r="942" spans="2:20" ht="15.75" customHeight="1">
      <c r="B942" s="5"/>
      <c r="C942" s="5"/>
      <c r="D942" s="5"/>
      <c r="E942" s="5"/>
      <c r="F942" s="5"/>
      <c r="P942" s="33"/>
      <c r="Q942" s="33"/>
      <c r="R942" s="33"/>
      <c r="S942" s="33"/>
      <c r="T942" s="33"/>
    </row>
    <row r="943" spans="2:20" ht="15.75" customHeight="1">
      <c r="B943" s="5"/>
      <c r="C943" s="5"/>
      <c r="D943" s="5"/>
      <c r="E943" s="5"/>
      <c r="F943" s="5"/>
      <c r="P943" s="33"/>
      <c r="Q943" s="33"/>
      <c r="R943" s="33"/>
      <c r="S943" s="33"/>
      <c r="T943" s="33"/>
    </row>
    <row r="944" spans="2:20" ht="15.75" customHeight="1">
      <c r="B944" s="5"/>
      <c r="C944" s="5"/>
      <c r="D944" s="5"/>
      <c r="E944" s="5"/>
      <c r="F944" s="5"/>
      <c r="P944" s="33"/>
      <c r="Q944" s="33"/>
      <c r="R944" s="33"/>
      <c r="S944" s="33"/>
      <c r="T944" s="33"/>
    </row>
    <row r="945" spans="2:20" ht="15.75" customHeight="1">
      <c r="B945" s="5"/>
      <c r="C945" s="5"/>
      <c r="D945" s="5"/>
      <c r="E945" s="5"/>
      <c r="F945" s="5"/>
      <c r="P945" s="33"/>
      <c r="Q945" s="33"/>
      <c r="R945" s="33"/>
      <c r="S945" s="33"/>
      <c r="T945" s="33"/>
    </row>
    <row r="946" spans="2:20" ht="15.75" customHeight="1">
      <c r="B946" s="5"/>
      <c r="C946" s="5"/>
      <c r="D946" s="5"/>
      <c r="E946" s="5"/>
      <c r="F946" s="5"/>
      <c r="P946" s="33"/>
      <c r="Q946" s="33"/>
      <c r="R946" s="33"/>
      <c r="S946" s="33"/>
      <c r="T946" s="33"/>
    </row>
    <row r="947" spans="2:20" ht="15.75" customHeight="1">
      <c r="B947" s="5"/>
      <c r="C947" s="5"/>
      <c r="D947" s="5"/>
      <c r="E947" s="5"/>
      <c r="F947" s="5"/>
      <c r="P947" s="33"/>
      <c r="Q947" s="33"/>
      <c r="R947" s="33"/>
      <c r="S947" s="33"/>
      <c r="T947" s="33"/>
    </row>
    <row r="948" spans="2:20" ht="15.75" customHeight="1">
      <c r="B948" s="5"/>
      <c r="C948" s="5"/>
      <c r="D948" s="5"/>
      <c r="E948" s="5"/>
      <c r="F948" s="5"/>
      <c r="P948" s="33"/>
      <c r="Q948" s="33"/>
      <c r="R948" s="33"/>
      <c r="S948" s="33"/>
      <c r="T948" s="33"/>
    </row>
    <row r="949" spans="2:20" ht="15.75" customHeight="1">
      <c r="B949" s="5"/>
      <c r="C949" s="5"/>
      <c r="D949" s="5"/>
      <c r="E949" s="5"/>
      <c r="F949" s="5"/>
      <c r="P949" s="33"/>
      <c r="Q949" s="33"/>
      <c r="R949" s="33"/>
      <c r="S949" s="33"/>
      <c r="T949" s="33"/>
    </row>
    <row r="950" spans="2:20" ht="15.75" customHeight="1">
      <c r="B950" s="5"/>
      <c r="C950" s="5"/>
      <c r="D950" s="5"/>
      <c r="E950" s="5"/>
      <c r="F950" s="5"/>
      <c r="P950" s="33"/>
      <c r="Q950" s="33"/>
      <c r="R950" s="33"/>
      <c r="S950" s="33"/>
      <c r="T950" s="33"/>
    </row>
    <row r="951" spans="2:20" ht="15.75" customHeight="1">
      <c r="B951" s="5"/>
      <c r="C951" s="5"/>
      <c r="D951" s="5"/>
      <c r="E951" s="5"/>
      <c r="F951" s="5"/>
      <c r="P951" s="33"/>
      <c r="Q951" s="33"/>
      <c r="R951" s="33"/>
      <c r="S951" s="33"/>
      <c r="T951" s="33"/>
    </row>
    <row r="952" spans="2:20" ht="15.75" customHeight="1">
      <c r="B952" s="5"/>
      <c r="C952" s="5"/>
      <c r="D952" s="5"/>
      <c r="E952" s="5"/>
      <c r="F952" s="5"/>
      <c r="P952" s="33"/>
      <c r="Q952" s="33"/>
      <c r="R952" s="33"/>
      <c r="S952" s="33"/>
      <c r="T952" s="33"/>
    </row>
    <row r="953" spans="2:20" ht="15.75" customHeight="1">
      <c r="B953" s="5"/>
      <c r="C953" s="5"/>
      <c r="D953" s="5"/>
      <c r="E953" s="5"/>
      <c r="F953" s="5"/>
      <c r="P953" s="33"/>
      <c r="Q953" s="33"/>
      <c r="R953" s="33"/>
      <c r="S953" s="33"/>
      <c r="T953" s="33"/>
    </row>
    <row r="954" spans="2:20" ht="15.75" customHeight="1">
      <c r="B954" s="5"/>
      <c r="C954" s="5"/>
      <c r="D954" s="5"/>
      <c r="E954" s="5"/>
      <c r="F954" s="5"/>
      <c r="P954" s="33"/>
      <c r="Q954" s="33"/>
      <c r="R954" s="33"/>
      <c r="S954" s="33"/>
      <c r="T954" s="33"/>
    </row>
    <row r="955" spans="2:20" ht="15.75" customHeight="1">
      <c r="B955" s="5"/>
      <c r="C955" s="5"/>
      <c r="D955" s="5"/>
      <c r="E955" s="5"/>
      <c r="F955" s="5"/>
      <c r="P955" s="33"/>
      <c r="Q955" s="33"/>
      <c r="R955" s="33"/>
      <c r="S955" s="33"/>
      <c r="T955" s="33"/>
    </row>
    <row r="956" spans="2:20" ht="15.75" customHeight="1">
      <c r="B956" s="5"/>
      <c r="C956" s="5"/>
      <c r="D956" s="5"/>
      <c r="E956" s="5"/>
      <c r="F956" s="5"/>
      <c r="P956" s="33"/>
      <c r="Q956" s="33"/>
      <c r="R956" s="33"/>
      <c r="S956" s="33"/>
      <c r="T956" s="33"/>
    </row>
    <row r="957" spans="2:20" ht="15.75" customHeight="1">
      <c r="B957" s="5"/>
      <c r="C957" s="5"/>
      <c r="D957" s="5"/>
      <c r="E957" s="5"/>
      <c r="F957" s="5"/>
      <c r="P957" s="33"/>
      <c r="Q957" s="33"/>
      <c r="R957" s="33"/>
      <c r="S957" s="33"/>
      <c r="T957" s="33"/>
    </row>
    <row r="958" spans="2:20" ht="15.75" customHeight="1">
      <c r="B958" s="5"/>
      <c r="C958" s="5"/>
      <c r="D958" s="5"/>
      <c r="E958" s="5"/>
      <c r="F958" s="5"/>
      <c r="P958" s="33"/>
      <c r="Q958" s="33"/>
      <c r="R958" s="33"/>
      <c r="S958" s="33"/>
      <c r="T958" s="33"/>
    </row>
    <row r="959" spans="2:20" ht="15.75" customHeight="1">
      <c r="B959" s="5"/>
      <c r="C959" s="5"/>
      <c r="D959" s="5"/>
      <c r="E959" s="5"/>
      <c r="F959" s="5"/>
      <c r="P959" s="33"/>
      <c r="Q959" s="33"/>
      <c r="R959" s="33"/>
      <c r="S959" s="33"/>
      <c r="T959" s="33"/>
    </row>
    <row r="960" spans="2:20" ht="15.75" customHeight="1">
      <c r="B960" s="5"/>
      <c r="C960" s="5"/>
      <c r="D960" s="5"/>
      <c r="E960" s="5"/>
      <c r="F960" s="5"/>
      <c r="P960" s="33"/>
      <c r="Q960" s="33"/>
      <c r="R960" s="33"/>
      <c r="S960" s="33"/>
      <c r="T960" s="33"/>
    </row>
    <row r="961" spans="2:20" ht="15.75" customHeight="1">
      <c r="B961" s="5"/>
      <c r="C961" s="5"/>
      <c r="D961" s="5"/>
      <c r="E961" s="5"/>
      <c r="F961" s="5"/>
      <c r="P961" s="33"/>
      <c r="Q961" s="33"/>
      <c r="R961" s="33"/>
      <c r="S961" s="33"/>
      <c r="T961" s="33"/>
    </row>
    <row r="962" spans="2:20" ht="15.75" customHeight="1">
      <c r="B962" s="5"/>
      <c r="C962" s="5"/>
      <c r="D962" s="5"/>
      <c r="E962" s="5"/>
      <c r="F962" s="5"/>
      <c r="P962" s="33"/>
      <c r="Q962" s="33"/>
      <c r="R962" s="33"/>
      <c r="S962" s="33"/>
      <c r="T962" s="33"/>
    </row>
    <row r="963" spans="2:20" ht="15.75" customHeight="1">
      <c r="B963" s="5"/>
      <c r="C963" s="5"/>
      <c r="D963" s="5"/>
      <c r="E963" s="5"/>
      <c r="F963" s="5"/>
      <c r="P963" s="33"/>
      <c r="Q963" s="33"/>
      <c r="R963" s="33"/>
      <c r="S963" s="33"/>
      <c r="T963" s="33"/>
    </row>
    <row r="964" spans="2:20" ht="15.75" customHeight="1">
      <c r="B964" s="5"/>
      <c r="C964" s="5"/>
      <c r="D964" s="5"/>
      <c r="E964" s="5"/>
      <c r="F964" s="5"/>
      <c r="P964" s="33"/>
      <c r="Q964" s="33"/>
      <c r="R964" s="33"/>
      <c r="S964" s="33"/>
      <c r="T964" s="33"/>
    </row>
    <row r="965" spans="2:20" ht="15.75" customHeight="1">
      <c r="B965" s="5"/>
      <c r="C965" s="5"/>
      <c r="D965" s="5"/>
      <c r="E965" s="5"/>
      <c r="F965" s="5"/>
      <c r="P965" s="33"/>
      <c r="Q965" s="33"/>
      <c r="R965" s="33"/>
      <c r="S965" s="33"/>
      <c r="T965" s="33"/>
    </row>
    <row r="966" spans="2:20" ht="15.75" customHeight="1">
      <c r="B966" s="5"/>
      <c r="C966" s="5"/>
      <c r="D966" s="5"/>
      <c r="E966" s="5"/>
      <c r="F966" s="5"/>
      <c r="P966" s="33"/>
      <c r="Q966" s="33"/>
      <c r="R966" s="33"/>
      <c r="S966" s="33"/>
      <c r="T966" s="33"/>
    </row>
    <row r="967" spans="2:20" ht="15.75" customHeight="1">
      <c r="B967" s="5"/>
      <c r="C967" s="5"/>
      <c r="D967" s="5"/>
      <c r="E967" s="5"/>
      <c r="F967" s="5"/>
      <c r="P967" s="33"/>
      <c r="Q967" s="33"/>
      <c r="R967" s="33"/>
      <c r="S967" s="33"/>
      <c r="T967" s="33"/>
    </row>
    <row r="968" spans="2:20" ht="15.75" customHeight="1">
      <c r="B968" s="5"/>
      <c r="C968" s="5"/>
      <c r="D968" s="5"/>
      <c r="E968" s="5"/>
      <c r="F968" s="5"/>
      <c r="P968" s="33"/>
      <c r="Q968" s="33"/>
      <c r="R968" s="33"/>
      <c r="S968" s="33"/>
      <c r="T968" s="33"/>
    </row>
    <row r="969" spans="2:20" ht="15.75" customHeight="1">
      <c r="B969" s="5"/>
      <c r="C969" s="5"/>
      <c r="D969" s="5"/>
      <c r="E969" s="5"/>
      <c r="F969" s="5"/>
      <c r="P969" s="33"/>
      <c r="Q969" s="33"/>
      <c r="R969" s="33"/>
      <c r="S969" s="33"/>
      <c r="T969" s="33"/>
    </row>
    <row r="970" spans="2:20" ht="15.75" customHeight="1">
      <c r="B970" s="5"/>
      <c r="C970" s="5"/>
      <c r="D970" s="5"/>
      <c r="E970" s="5"/>
      <c r="F970" s="5"/>
      <c r="P970" s="33"/>
      <c r="Q970" s="33"/>
      <c r="R970" s="33"/>
      <c r="S970" s="33"/>
      <c r="T970" s="33"/>
    </row>
    <row r="971" spans="2:20" ht="15.75" customHeight="1">
      <c r="B971" s="5"/>
      <c r="C971" s="5"/>
      <c r="D971" s="5"/>
      <c r="E971" s="5"/>
      <c r="F971" s="5"/>
      <c r="P971" s="33"/>
      <c r="Q971" s="33"/>
      <c r="R971" s="33"/>
      <c r="S971" s="33"/>
      <c r="T971" s="33"/>
    </row>
    <row r="972" spans="2:20" ht="15.75" customHeight="1">
      <c r="B972" s="5"/>
      <c r="C972" s="5"/>
      <c r="D972" s="5"/>
      <c r="E972" s="5"/>
      <c r="F972" s="5"/>
      <c r="P972" s="33"/>
      <c r="Q972" s="33"/>
      <c r="R972" s="33"/>
      <c r="S972" s="33"/>
      <c r="T972" s="33"/>
    </row>
    <row r="973" spans="2:20" ht="15.75" customHeight="1">
      <c r="B973" s="5"/>
      <c r="C973" s="5"/>
      <c r="D973" s="5"/>
      <c r="E973" s="5"/>
      <c r="F973" s="5"/>
      <c r="P973" s="33"/>
      <c r="Q973" s="33"/>
      <c r="R973" s="33"/>
      <c r="S973" s="33"/>
      <c r="T973" s="33"/>
    </row>
    <row r="974" spans="2:20" ht="15.75" customHeight="1">
      <c r="B974" s="5"/>
      <c r="C974" s="5"/>
      <c r="D974" s="5"/>
      <c r="E974" s="5"/>
      <c r="F974" s="5"/>
      <c r="P974" s="33"/>
      <c r="Q974" s="33"/>
      <c r="R974" s="33"/>
      <c r="S974" s="33"/>
      <c r="T974" s="33"/>
    </row>
    <row r="975" spans="2:20" ht="15.75" customHeight="1">
      <c r="B975" s="5"/>
      <c r="C975" s="5"/>
      <c r="D975" s="5"/>
      <c r="E975" s="5"/>
      <c r="F975" s="5"/>
      <c r="P975" s="33"/>
      <c r="Q975" s="33"/>
      <c r="R975" s="33"/>
      <c r="S975" s="33"/>
      <c r="T975" s="33"/>
    </row>
    <row r="976" spans="2:20" ht="15.75" customHeight="1">
      <c r="B976" s="5"/>
      <c r="C976" s="5"/>
      <c r="D976" s="5"/>
      <c r="E976" s="5"/>
      <c r="F976" s="5"/>
      <c r="P976" s="33"/>
      <c r="Q976" s="33"/>
      <c r="R976" s="33"/>
      <c r="S976" s="33"/>
      <c r="T976" s="33"/>
    </row>
    <row r="977" spans="2:20" ht="15.75" customHeight="1">
      <c r="B977" s="5"/>
      <c r="C977" s="5"/>
      <c r="D977" s="5"/>
      <c r="E977" s="5"/>
      <c r="F977" s="5"/>
      <c r="P977" s="33"/>
      <c r="Q977" s="33"/>
      <c r="R977" s="33"/>
      <c r="S977" s="33"/>
      <c r="T977" s="33"/>
    </row>
    <row r="978" spans="2:20" ht="15.75" customHeight="1">
      <c r="B978" s="5"/>
      <c r="C978" s="5"/>
      <c r="D978" s="5"/>
      <c r="E978" s="5"/>
      <c r="F978" s="5"/>
      <c r="P978" s="33"/>
      <c r="Q978" s="33"/>
      <c r="R978" s="33"/>
      <c r="S978" s="33"/>
      <c r="T978" s="33"/>
    </row>
    <row r="979" spans="2:20" ht="15.75" customHeight="1">
      <c r="B979" s="5"/>
      <c r="C979" s="5"/>
      <c r="D979" s="5"/>
      <c r="E979" s="5"/>
      <c r="F979" s="5"/>
      <c r="P979" s="33"/>
      <c r="Q979" s="33"/>
      <c r="R979" s="33"/>
      <c r="S979" s="33"/>
      <c r="T979" s="33"/>
    </row>
    <row r="980" spans="2:20" ht="15.75" customHeight="1">
      <c r="B980" s="5"/>
      <c r="C980" s="5"/>
      <c r="D980" s="5"/>
      <c r="E980" s="5"/>
      <c r="F980" s="5"/>
      <c r="P980" s="33"/>
      <c r="Q980" s="33"/>
      <c r="R980" s="33"/>
      <c r="S980" s="33"/>
      <c r="T980" s="33"/>
    </row>
    <row r="981" spans="2:20" ht="15.75" customHeight="1">
      <c r="B981" s="5"/>
      <c r="C981" s="5"/>
      <c r="D981" s="5"/>
      <c r="E981" s="5"/>
      <c r="F981" s="5"/>
      <c r="P981" s="33"/>
      <c r="Q981" s="33"/>
      <c r="R981" s="33"/>
      <c r="S981" s="33"/>
      <c r="T981" s="33"/>
    </row>
    <row r="982" spans="2:20" ht="15.75" customHeight="1">
      <c r="B982" s="5"/>
      <c r="C982" s="5"/>
      <c r="D982" s="5"/>
      <c r="E982" s="5"/>
      <c r="F982" s="5"/>
      <c r="P982" s="33"/>
      <c r="Q982" s="33"/>
      <c r="R982" s="33"/>
      <c r="S982" s="33"/>
      <c r="T982" s="33"/>
    </row>
    <row r="983" spans="2:20" ht="15.75" customHeight="1">
      <c r="B983" s="5"/>
      <c r="C983" s="5"/>
      <c r="D983" s="5"/>
      <c r="E983" s="5"/>
      <c r="F983" s="5"/>
      <c r="P983" s="33"/>
      <c r="Q983" s="33"/>
      <c r="R983" s="33"/>
      <c r="S983" s="33"/>
      <c r="T983" s="33"/>
    </row>
    <row r="984" spans="2:20" ht="15.75" customHeight="1">
      <c r="B984" s="5"/>
      <c r="C984" s="5"/>
      <c r="D984" s="5"/>
      <c r="E984" s="5"/>
      <c r="F984" s="5"/>
      <c r="P984" s="33"/>
      <c r="Q984" s="33"/>
      <c r="R984" s="33"/>
      <c r="S984" s="33"/>
      <c r="T984" s="33"/>
    </row>
    <row r="985" spans="2:20" ht="15.75" customHeight="1">
      <c r="B985" s="5"/>
      <c r="C985" s="5"/>
      <c r="D985" s="5"/>
      <c r="E985" s="5"/>
      <c r="F985" s="5"/>
      <c r="P985" s="33"/>
      <c r="Q985" s="33"/>
      <c r="R985" s="33"/>
      <c r="S985" s="33"/>
      <c r="T985" s="33"/>
    </row>
    <row r="986" spans="2:20" ht="15.75" customHeight="1">
      <c r="B986" s="5"/>
      <c r="C986" s="5"/>
      <c r="D986" s="5"/>
      <c r="E986" s="5"/>
      <c r="F986" s="5"/>
      <c r="P986" s="33"/>
      <c r="Q986" s="33"/>
      <c r="R986" s="33"/>
      <c r="S986" s="33"/>
      <c r="T986" s="33"/>
    </row>
    <row r="987" spans="2:20" ht="15.75" customHeight="1">
      <c r="B987" s="5"/>
      <c r="C987" s="5"/>
      <c r="D987" s="5"/>
      <c r="E987" s="5"/>
      <c r="F987" s="5"/>
      <c r="P987" s="33"/>
      <c r="Q987" s="33"/>
      <c r="R987" s="33"/>
      <c r="S987" s="33"/>
      <c r="T987" s="33"/>
    </row>
    <row r="988" spans="2:20" ht="15.75" customHeight="1">
      <c r="B988" s="5"/>
      <c r="C988" s="5"/>
      <c r="D988" s="5"/>
      <c r="E988" s="5"/>
      <c r="F988" s="5"/>
      <c r="P988" s="33"/>
      <c r="Q988" s="33"/>
      <c r="R988" s="33"/>
      <c r="S988" s="33"/>
      <c r="T988" s="33"/>
    </row>
    <row r="989" spans="2:20" ht="15.75" customHeight="1">
      <c r="B989" s="5"/>
      <c r="C989" s="5"/>
      <c r="D989" s="5"/>
      <c r="E989" s="5"/>
      <c r="F989" s="5"/>
      <c r="P989" s="33"/>
      <c r="Q989" s="33"/>
      <c r="R989" s="33"/>
      <c r="S989" s="33"/>
      <c r="T989" s="33"/>
    </row>
    <row r="990" spans="2:20" ht="15.75" customHeight="1">
      <c r="B990" s="5"/>
      <c r="C990" s="5"/>
      <c r="D990" s="5"/>
      <c r="E990" s="5"/>
      <c r="F990" s="5"/>
      <c r="P990" s="33"/>
      <c r="Q990" s="33"/>
      <c r="R990" s="33"/>
      <c r="S990" s="33"/>
      <c r="T990" s="33"/>
    </row>
    <row r="991" spans="2:20" ht="15.75" customHeight="1">
      <c r="B991" s="5"/>
      <c r="C991" s="5"/>
      <c r="D991" s="5"/>
      <c r="E991" s="5"/>
      <c r="F991" s="5"/>
      <c r="P991" s="33"/>
      <c r="Q991" s="33"/>
      <c r="R991" s="33"/>
      <c r="S991" s="33"/>
      <c r="T991" s="33"/>
    </row>
    <row r="992" spans="2:20" ht="15.75" customHeight="1">
      <c r="B992" s="5"/>
      <c r="C992" s="5"/>
      <c r="D992" s="5"/>
      <c r="E992" s="5"/>
      <c r="F992" s="5"/>
      <c r="P992" s="33"/>
      <c r="Q992" s="33"/>
      <c r="R992" s="33"/>
      <c r="S992" s="33"/>
      <c r="T992" s="33"/>
    </row>
    <row r="993" spans="2:20" ht="15.75" customHeight="1">
      <c r="B993" s="5"/>
      <c r="C993" s="5"/>
      <c r="D993" s="5"/>
      <c r="E993" s="5"/>
      <c r="F993" s="5"/>
      <c r="P993" s="33"/>
      <c r="Q993" s="33"/>
      <c r="R993" s="33"/>
      <c r="S993" s="33"/>
      <c r="T993" s="33"/>
    </row>
    <row r="994" spans="2:20" ht="15.75" customHeight="1">
      <c r="B994" s="5"/>
      <c r="C994" s="5"/>
      <c r="D994" s="5"/>
      <c r="E994" s="5"/>
      <c r="F994" s="5"/>
      <c r="P994" s="33"/>
      <c r="Q994" s="33"/>
      <c r="R994" s="33"/>
      <c r="S994" s="33"/>
      <c r="T994" s="33"/>
    </row>
    <row r="995" spans="2:20" ht="15.75" customHeight="1">
      <c r="B995" s="5"/>
      <c r="C995" s="5"/>
      <c r="D995" s="5"/>
      <c r="E995" s="5"/>
      <c r="F995" s="5"/>
      <c r="P995" s="33"/>
      <c r="Q995" s="33"/>
      <c r="R995" s="33"/>
      <c r="S995" s="33"/>
      <c r="T995" s="33"/>
    </row>
    <row r="996" spans="2:20" ht="15.75" customHeight="1">
      <c r="B996" s="5"/>
      <c r="C996" s="5"/>
      <c r="D996" s="5"/>
      <c r="E996" s="5"/>
      <c r="F996" s="5"/>
      <c r="P996" s="33"/>
      <c r="Q996" s="33"/>
      <c r="R996" s="33"/>
      <c r="S996" s="33"/>
      <c r="T996" s="33"/>
    </row>
    <row r="997" spans="2:20" ht="15.75" customHeight="1">
      <c r="B997" s="5"/>
      <c r="C997" s="5"/>
      <c r="D997" s="5"/>
      <c r="E997" s="5"/>
      <c r="F997" s="5"/>
      <c r="P997" s="33"/>
      <c r="Q997" s="33"/>
      <c r="R997" s="33"/>
      <c r="S997" s="33"/>
      <c r="T997" s="33"/>
    </row>
    <row r="998" spans="2:20" ht="15.75" customHeight="1">
      <c r="B998" s="5"/>
      <c r="C998" s="5"/>
      <c r="D998" s="5"/>
      <c r="E998" s="5"/>
      <c r="F998" s="5"/>
      <c r="P998" s="33"/>
      <c r="Q998" s="33"/>
      <c r="R998" s="33"/>
      <c r="S998" s="33"/>
      <c r="T998" s="33"/>
    </row>
    <row r="999" spans="2:20" ht="15.75" customHeight="1">
      <c r="B999" s="5"/>
      <c r="C999" s="5"/>
      <c r="D999" s="5"/>
      <c r="E999" s="5"/>
      <c r="F999" s="5"/>
      <c r="P999" s="33"/>
      <c r="Q999" s="33"/>
      <c r="R999" s="33"/>
      <c r="S999" s="33"/>
      <c r="T999" s="33"/>
    </row>
    <row r="1000" spans="2:20" ht="15.75" customHeight="1">
      <c r="B1000" s="5"/>
      <c r="C1000" s="5"/>
      <c r="D1000" s="5"/>
      <c r="E1000" s="5"/>
      <c r="F1000" s="5"/>
      <c r="P1000" s="33"/>
      <c r="Q1000" s="33"/>
      <c r="R1000" s="33"/>
      <c r="S1000" s="33"/>
      <c r="T1000" s="33"/>
    </row>
    <row r="1001" spans="2:20" ht="15.75" customHeight="1">
      <c r="B1001" s="5"/>
      <c r="C1001" s="5"/>
      <c r="D1001" s="5"/>
      <c r="E1001" s="5"/>
      <c r="F1001" s="5"/>
      <c r="P1001" s="33"/>
      <c r="Q1001" s="33"/>
      <c r="R1001" s="33"/>
      <c r="S1001" s="33"/>
      <c r="T1001" s="33"/>
    </row>
    <row r="1002" spans="2:20" ht="15.75" customHeight="1">
      <c r="B1002" s="5"/>
      <c r="C1002" s="5"/>
      <c r="D1002" s="5"/>
      <c r="E1002" s="5"/>
      <c r="F1002" s="5"/>
      <c r="P1002" s="33"/>
      <c r="Q1002" s="33"/>
      <c r="R1002" s="33"/>
      <c r="S1002" s="33"/>
      <c r="T1002" s="33"/>
    </row>
    <row r="1003" spans="2:20" ht="15.75" customHeight="1">
      <c r="B1003" s="5"/>
      <c r="C1003" s="5"/>
      <c r="D1003" s="5"/>
      <c r="E1003" s="5"/>
      <c r="F1003" s="5"/>
      <c r="P1003" s="33"/>
      <c r="Q1003" s="33"/>
      <c r="R1003" s="33"/>
      <c r="S1003" s="33"/>
      <c r="T1003" s="33"/>
    </row>
    <row r="1004" spans="2:20" ht="15.75" customHeight="1">
      <c r="B1004" s="5"/>
      <c r="C1004" s="5"/>
      <c r="D1004" s="5"/>
      <c r="E1004" s="5"/>
      <c r="F1004" s="5"/>
      <c r="P1004" s="33"/>
      <c r="Q1004" s="33"/>
      <c r="R1004" s="33"/>
      <c r="S1004" s="33"/>
      <c r="T1004" s="33"/>
    </row>
    <row r="1005" spans="2:20" ht="15.75" customHeight="1">
      <c r="B1005" s="5"/>
      <c r="C1005" s="5"/>
      <c r="D1005" s="5"/>
      <c r="E1005" s="5"/>
      <c r="F1005" s="5"/>
      <c r="P1005" s="33"/>
      <c r="Q1005" s="33"/>
      <c r="R1005" s="33"/>
      <c r="S1005" s="33"/>
      <c r="T1005" s="33"/>
    </row>
  </sheetData>
  <conditionalFormatting sqref="E6:E16">
    <cfRule type="cellIs" dxfId="7" priority="1" operator="greaterThanOrEqual">
      <formula>0</formula>
    </cfRule>
  </conditionalFormatting>
  <conditionalFormatting sqref="E6:E16">
    <cfRule type="cellIs" dxfId="6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5"/>
  <sheetViews>
    <sheetView workbookViewId="0">
      <selection activeCell="S7" sqref="S7"/>
    </sheetView>
  </sheetViews>
  <sheetFormatPr baseColWidth="10" defaultColWidth="11.1640625" defaultRowHeight="15" customHeight="1"/>
  <cols>
    <col min="1" max="1" width="11.83203125" customWidth="1"/>
    <col min="2" max="2" width="8.33203125" customWidth="1"/>
    <col min="3" max="3" width="8.83203125" customWidth="1"/>
    <col min="4" max="4" width="7.1640625" customWidth="1"/>
    <col min="5" max="5" width="10.5" customWidth="1"/>
    <col min="6" max="6" width="9" customWidth="1"/>
    <col min="7" max="7" width="5.1640625" customWidth="1"/>
    <col min="8" max="8" width="4.33203125" customWidth="1"/>
    <col min="9" max="9" width="4.1640625" customWidth="1"/>
    <col min="10" max="10" width="5.33203125" customWidth="1"/>
    <col min="11" max="11" width="6.1640625" customWidth="1"/>
    <col min="12" max="13" width="2.6640625" customWidth="1"/>
    <col min="14" max="14" width="12.1640625" customWidth="1"/>
    <col min="15" max="15" width="1.5" customWidth="1"/>
    <col min="16" max="16" width="6.1640625" customWidth="1"/>
    <col min="17" max="17" width="4" customWidth="1"/>
    <col min="18" max="18" width="4.33203125" customWidth="1"/>
    <col min="19" max="19" width="5.83203125" customWidth="1"/>
    <col min="20" max="20" width="6.5" customWidth="1"/>
    <col min="21" max="26" width="10.5" customWidth="1"/>
  </cols>
  <sheetData>
    <row r="1" spans="1:26" ht="15.75" customHeight="1">
      <c r="A1" s="2" t="s">
        <v>1</v>
      </c>
      <c r="B1" s="4" t="s">
        <v>3</v>
      </c>
      <c r="C1" s="5"/>
      <c r="D1" s="5"/>
      <c r="E1" s="5"/>
      <c r="F1" s="5"/>
      <c r="P1" s="33"/>
      <c r="Q1" s="33"/>
      <c r="R1" s="33"/>
      <c r="S1" s="33"/>
      <c r="T1" s="33"/>
    </row>
    <row r="2" spans="1:26" ht="15.75" customHeight="1">
      <c r="A2" s="2" t="s">
        <v>6</v>
      </c>
      <c r="B2" s="4" t="s">
        <v>13</v>
      </c>
      <c r="C2" s="39" t="s">
        <v>68</v>
      </c>
      <c r="D2" s="5"/>
      <c r="E2" s="5"/>
      <c r="F2" s="5"/>
      <c r="P2" s="33"/>
      <c r="Q2" s="33"/>
      <c r="R2" s="33"/>
      <c r="S2" s="33"/>
      <c r="T2" s="33"/>
    </row>
    <row r="3" spans="1:26" ht="15.75" customHeight="1">
      <c r="A3" s="2" t="s">
        <v>10</v>
      </c>
      <c r="B3" s="9">
        <v>0.47222222222222221</v>
      </c>
      <c r="C3" s="10">
        <v>43665</v>
      </c>
      <c r="D3" s="5"/>
      <c r="E3" s="5"/>
      <c r="F3" s="5"/>
      <c r="P3" s="33"/>
      <c r="Q3" s="33"/>
      <c r="R3" s="33"/>
      <c r="S3" s="33"/>
      <c r="T3" s="33"/>
    </row>
    <row r="4" spans="1:26" ht="15.75" customHeight="1">
      <c r="B4" s="5"/>
      <c r="C4" s="5"/>
      <c r="D4" s="5"/>
      <c r="E4" s="5"/>
      <c r="G4" s="4" t="s">
        <v>15</v>
      </c>
      <c r="P4" s="14" t="s">
        <v>49</v>
      </c>
      <c r="Q4" s="40"/>
      <c r="R4" s="33"/>
      <c r="S4" s="33"/>
      <c r="T4" s="41" t="s">
        <v>50</v>
      </c>
    </row>
    <row r="5" spans="1:26" ht="15.75" customHeight="1">
      <c r="A5" s="12" t="s">
        <v>18</v>
      </c>
      <c r="B5" s="12" t="s">
        <v>19</v>
      </c>
      <c r="C5" s="12" t="s">
        <v>20</v>
      </c>
      <c r="D5" s="12" t="s">
        <v>21</v>
      </c>
      <c r="E5" s="4" t="s">
        <v>22</v>
      </c>
      <c r="G5" s="4" t="s">
        <v>23</v>
      </c>
      <c r="H5" s="14" t="s">
        <v>24</v>
      </c>
      <c r="I5" s="12" t="s">
        <v>25</v>
      </c>
      <c r="J5" s="12" t="s">
        <v>26</v>
      </c>
      <c r="K5" s="12" t="s">
        <v>27</v>
      </c>
      <c r="L5" s="12"/>
      <c r="N5" s="16" t="s">
        <v>28</v>
      </c>
      <c r="P5" s="14" t="s">
        <v>51</v>
      </c>
      <c r="Q5" s="14" t="s">
        <v>52</v>
      </c>
      <c r="R5" s="14" t="s">
        <v>53</v>
      </c>
      <c r="S5" s="14" t="s">
        <v>54</v>
      </c>
      <c r="T5" s="41" t="s">
        <v>55</v>
      </c>
      <c r="V5" s="59" t="s">
        <v>89</v>
      </c>
      <c r="W5" s="59" t="s">
        <v>90</v>
      </c>
      <c r="X5" s="59" t="s">
        <v>91</v>
      </c>
      <c r="Y5" s="59" t="s">
        <v>92</v>
      </c>
    </row>
    <row r="6" spans="1:26" ht="15.75" customHeight="1">
      <c r="A6" s="13">
        <v>1</v>
      </c>
      <c r="B6" s="13">
        <v>6.79</v>
      </c>
      <c r="C6" s="13">
        <v>214</v>
      </c>
      <c r="D6" s="53">
        <f t="shared" ref="D6:D9" si="0">AVERAGE(G6:K6)</f>
        <v>227</v>
      </c>
      <c r="E6" s="20">
        <f t="shared" ref="E6:E9" si="1">IF(ABS(D6-C6)&gt;180,360-ABS(D6-C6),D6-C6)</f>
        <v>13</v>
      </c>
      <c r="G6" s="13"/>
      <c r="H6" s="54">
        <v>225</v>
      </c>
      <c r="I6" s="13">
        <v>224</v>
      </c>
      <c r="J6" s="13">
        <v>232</v>
      </c>
      <c r="K6" s="13"/>
      <c r="L6" s="13"/>
      <c r="N6" s="15" t="s">
        <v>70</v>
      </c>
      <c r="O6" s="22"/>
      <c r="P6" s="21">
        <v>0.1</v>
      </c>
      <c r="Q6" s="34">
        <v>20</v>
      </c>
      <c r="R6" s="21"/>
      <c r="S6" s="42">
        <f t="shared" ref="S6:S9" si="2">COS(RADIANS(C6-Q6))*P6*R6/60</f>
        <v>0</v>
      </c>
      <c r="T6" s="43">
        <f t="shared" ref="T6:T9" si="3">B6-S6</f>
        <v>6.79</v>
      </c>
      <c r="U6" s="3" t="s">
        <v>71</v>
      </c>
      <c r="V6" s="19">
        <f>IF(ISBLANK(A6),"",A6)</f>
        <v>1</v>
      </c>
      <c r="W6" s="61">
        <f>IF(V6="","",IF(ISBLANK(T6),B6,T6))</f>
        <v>6.79</v>
      </c>
      <c r="X6" s="21">
        <f>IF(V6="","",C6)</f>
        <v>214</v>
      </c>
      <c r="Y6" s="60">
        <f>IF(V6="","",D6)</f>
        <v>227</v>
      </c>
    </row>
    <row r="7" spans="1:26" ht="15.75" customHeight="1">
      <c r="A7" s="13">
        <v>2</v>
      </c>
      <c r="B7" s="13">
        <v>7.9</v>
      </c>
      <c r="C7" s="13">
        <v>28</v>
      </c>
      <c r="D7" s="53">
        <f t="shared" si="0"/>
        <v>215.33333333333334</v>
      </c>
      <c r="E7" s="20">
        <f t="shared" si="1"/>
        <v>172.66666666666666</v>
      </c>
      <c r="G7" s="13"/>
      <c r="H7" s="54">
        <v>212</v>
      </c>
      <c r="I7" s="13">
        <v>222</v>
      </c>
      <c r="J7" s="13">
        <v>212</v>
      </c>
      <c r="K7" s="13"/>
      <c r="L7" s="13"/>
      <c r="N7" s="15" t="s">
        <v>72</v>
      </c>
      <c r="O7" s="23"/>
      <c r="P7" s="34">
        <v>1.03</v>
      </c>
      <c r="Q7" s="34">
        <v>196</v>
      </c>
      <c r="R7" s="34">
        <v>26</v>
      </c>
      <c r="S7" s="42">
        <f t="shared" si="2"/>
        <v>-0.43657987912752189</v>
      </c>
      <c r="T7" s="43">
        <f t="shared" si="3"/>
        <v>8.3365798791275214</v>
      </c>
      <c r="V7" s="19">
        <f>IF(ISBLANK(A7),"",A7)</f>
        <v>2</v>
      </c>
      <c r="W7" s="61">
        <f t="shared" ref="W7:W13" si="4">IF(V7="","",IF(ISBLANK(T7),B7,T7))</f>
        <v>8.3365798791275214</v>
      </c>
      <c r="X7" s="21">
        <f t="shared" ref="X7:X13" si="5">IF(V7="","",C7)</f>
        <v>28</v>
      </c>
      <c r="Y7" s="60">
        <f t="shared" ref="Y7:Y13" si="6">IF(V7="","",D7)</f>
        <v>215.33333333333334</v>
      </c>
    </row>
    <row r="8" spans="1:26" ht="15.75" customHeight="1">
      <c r="A8" s="13">
        <v>3</v>
      </c>
      <c r="B8" s="13">
        <v>2.0499999999999998</v>
      </c>
      <c r="C8" s="13">
        <v>203</v>
      </c>
      <c r="D8" s="53">
        <f t="shared" si="0"/>
        <v>214</v>
      </c>
      <c r="E8" s="20">
        <f t="shared" si="1"/>
        <v>11</v>
      </c>
      <c r="G8" s="13"/>
      <c r="H8" s="54">
        <v>201</v>
      </c>
      <c r="I8" s="13">
        <v>219</v>
      </c>
      <c r="J8" s="13">
        <v>222</v>
      </c>
      <c r="K8" s="13"/>
      <c r="L8" s="13"/>
      <c r="N8" s="15" t="s">
        <v>67</v>
      </c>
      <c r="O8" s="23"/>
      <c r="P8" s="21">
        <v>1.1599999999999999</v>
      </c>
      <c r="Q8" s="34">
        <v>210</v>
      </c>
      <c r="R8" s="21">
        <v>15</v>
      </c>
      <c r="S8" s="42">
        <f t="shared" si="2"/>
        <v>0.28783838397598338</v>
      </c>
      <c r="T8" s="43">
        <f t="shared" si="3"/>
        <v>1.7621616160240166</v>
      </c>
      <c r="V8" s="19">
        <f>IF(ISBLANK(A8),"",A8)</f>
        <v>3</v>
      </c>
      <c r="W8" s="61">
        <f t="shared" si="4"/>
        <v>1.7621616160240166</v>
      </c>
      <c r="X8" s="21">
        <f t="shared" si="5"/>
        <v>203</v>
      </c>
      <c r="Y8" s="60">
        <f t="shared" si="6"/>
        <v>214</v>
      </c>
    </row>
    <row r="9" spans="1:26" ht="15.75" customHeight="1">
      <c r="A9" s="13">
        <v>4</v>
      </c>
      <c r="B9" s="13">
        <v>0.99</v>
      </c>
      <c r="C9" s="25">
        <v>65</v>
      </c>
      <c r="D9" s="53">
        <f t="shared" si="0"/>
        <v>218.66666666666666</v>
      </c>
      <c r="E9" s="20">
        <f t="shared" si="1"/>
        <v>153.66666666666666</v>
      </c>
      <c r="G9" s="28"/>
      <c r="H9" s="54">
        <v>215</v>
      </c>
      <c r="I9" s="13">
        <v>221</v>
      </c>
      <c r="J9" s="13">
        <v>220</v>
      </c>
      <c r="K9" s="13"/>
      <c r="L9" s="13"/>
      <c r="N9" s="15" t="s">
        <v>69</v>
      </c>
      <c r="O9" s="23"/>
      <c r="P9" s="21">
        <v>1.0900000000000001</v>
      </c>
      <c r="Q9" s="34">
        <v>185</v>
      </c>
      <c r="R9" s="21">
        <v>7</v>
      </c>
      <c r="S9" s="42">
        <f t="shared" si="2"/>
        <v>-6.3583333333333311E-2</v>
      </c>
      <c r="T9" s="43">
        <f t="shared" si="3"/>
        <v>1.0535833333333333</v>
      </c>
      <c r="V9" s="19">
        <f t="shared" ref="V9:V13" si="7">IF(ISBLANK(A9),"",A9)</f>
        <v>4</v>
      </c>
      <c r="W9" s="61">
        <f t="shared" si="4"/>
        <v>1.0535833333333333</v>
      </c>
      <c r="X9" s="21">
        <f t="shared" si="5"/>
        <v>65</v>
      </c>
      <c r="Y9" s="60">
        <f t="shared" si="6"/>
        <v>218.66666666666666</v>
      </c>
    </row>
    <row r="10" spans="1:26" ht="15.75" customHeight="1">
      <c r="A10" s="13"/>
      <c r="B10" s="13"/>
      <c r="C10" s="25"/>
      <c r="D10" s="53"/>
      <c r="E10" s="20"/>
      <c r="G10" s="28"/>
      <c r="H10" s="21"/>
      <c r="I10" s="13"/>
      <c r="J10" s="13"/>
      <c r="K10" s="13"/>
      <c r="L10" s="13"/>
      <c r="N10" s="15"/>
      <c r="O10" s="23"/>
      <c r="P10" s="21"/>
      <c r="Q10" s="34"/>
      <c r="R10" s="21"/>
      <c r="S10" s="42"/>
      <c r="T10" s="42"/>
      <c r="V10" s="19" t="str">
        <f t="shared" si="7"/>
        <v/>
      </c>
      <c r="W10" s="61" t="str">
        <f t="shared" si="4"/>
        <v/>
      </c>
      <c r="X10" s="21" t="str">
        <f t="shared" si="5"/>
        <v/>
      </c>
      <c r="Y10" s="60" t="str">
        <f t="shared" si="6"/>
        <v/>
      </c>
    </row>
    <row r="11" spans="1:26" ht="15.75" customHeight="1">
      <c r="A11" s="13"/>
      <c r="B11" s="13"/>
      <c r="C11" s="25"/>
      <c r="D11" s="53"/>
      <c r="E11" s="20"/>
      <c r="G11" s="28"/>
      <c r="H11" s="21"/>
      <c r="I11" s="13"/>
      <c r="J11" s="13"/>
      <c r="K11" s="13"/>
      <c r="L11" s="13"/>
      <c r="N11" s="15"/>
      <c r="O11" s="23"/>
      <c r="P11" s="21"/>
      <c r="Q11" s="21"/>
      <c r="R11" s="21"/>
      <c r="S11" s="42"/>
      <c r="T11" s="42"/>
      <c r="V11" s="19" t="str">
        <f t="shared" si="7"/>
        <v/>
      </c>
      <c r="W11" s="61" t="str">
        <f t="shared" si="4"/>
        <v/>
      </c>
      <c r="X11" s="21" t="str">
        <f t="shared" si="5"/>
        <v/>
      </c>
      <c r="Y11" s="60" t="str">
        <f t="shared" si="6"/>
        <v/>
      </c>
    </row>
    <row r="12" spans="1:26" ht="15.75" customHeight="1">
      <c r="A12" s="13"/>
      <c r="B12" s="13"/>
      <c r="C12" s="25"/>
      <c r="D12" s="53"/>
      <c r="E12" s="20"/>
      <c r="G12" s="28"/>
      <c r="H12" s="21"/>
      <c r="I12" s="13"/>
      <c r="J12" s="13"/>
      <c r="K12" s="13"/>
      <c r="L12" s="13"/>
      <c r="N12" s="15"/>
      <c r="O12" s="23"/>
      <c r="P12" s="21"/>
      <c r="Q12" s="34"/>
      <c r="R12" s="21"/>
      <c r="S12" s="42"/>
      <c r="T12" s="42"/>
      <c r="U12" s="2"/>
      <c r="V12" s="19" t="str">
        <f t="shared" si="7"/>
        <v/>
      </c>
      <c r="W12" s="61" t="str">
        <f t="shared" si="4"/>
        <v/>
      </c>
      <c r="X12" s="21" t="str">
        <f t="shared" si="5"/>
        <v/>
      </c>
      <c r="Y12" s="60" t="str">
        <f t="shared" si="6"/>
        <v/>
      </c>
      <c r="Z12" s="2"/>
    </row>
    <row r="13" spans="1:26" ht="15.75" customHeight="1">
      <c r="A13" s="13"/>
      <c r="B13" s="13"/>
      <c r="C13" s="25"/>
      <c r="D13" s="53"/>
      <c r="E13" s="20"/>
      <c r="G13" s="28"/>
      <c r="H13" s="21"/>
      <c r="I13" s="13"/>
      <c r="J13" s="13"/>
      <c r="K13" s="13"/>
      <c r="L13" s="13"/>
      <c r="N13" s="15"/>
      <c r="O13" s="23"/>
      <c r="P13" s="21"/>
      <c r="Q13" s="34"/>
      <c r="R13" s="21"/>
      <c r="S13" s="42"/>
      <c r="T13" s="42"/>
      <c r="U13" s="2"/>
      <c r="V13" s="19" t="str">
        <f t="shared" si="7"/>
        <v/>
      </c>
      <c r="W13" s="61" t="str">
        <f t="shared" si="4"/>
        <v/>
      </c>
      <c r="X13" s="21" t="str">
        <f t="shared" si="5"/>
        <v/>
      </c>
      <c r="Y13" s="60" t="str">
        <f t="shared" si="6"/>
        <v/>
      </c>
      <c r="Z13" s="2"/>
    </row>
    <row r="14" spans="1:26" ht="15.75" customHeight="1">
      <c r="A14" s="14" t="s">
        <v>32</v>
      </c>
      <c r="B14" s="57">
        <f>SUM(B6:B13)</f>
        <v>17.73</v>
      </c>
      <c r="C14" s="28"/>
      <c r="D14" s="25"/>
      <c r="E14" s="5"/>
      <c r="G14" s="28"/>
      <c r="H14" s="21"/>
      <c r="I14" s="13"/>
      <c r="J14" s="13"/>
      <c r="K14" s="13"/>
      <c r="L14" s="13"/>
      <c r="N14" s="29">
        <v>1</v>
      </c>
      <c r="O14" s="23"/>
      <c r="P14" s="52">
        <f t="shared" ref="P14:P18" si="8">COS(RADIANS(Q6-C6))</f>
        <v>-0.97029572627599647</v>
      </c>
      <c r="Q14" s="33"/>
      <c r="R14" s="26"/>
      <c r="S14" s="8"/>
      <c r="T14" s="8"/>
      <c r="U14" s="2"/>
      <c r="V14" s="2"/>
      <c r="W14" s="2"/>
      <c r="X14" s="2"/>
      <c r="Y14" s="2"/>
      <c r="Z14" s="2"/>
    </row>
    <row r="15" spans="1:26" ht="15.75" customHeight="1">
      <c r="A15" s="13"/>
      <c r="B15" s="27"/>
      <c r="C15" s="28"/>
      <c r="D15" s="25"/>
      <c r="E15" s="5"/>
      <c r="G15" s="28"/>
      <c r="H15" s="21"/>
      <c r="I15" s="13"/>
      <c r="J15" s="13"/>
      <c r="K15" s="13"/>
      <c r="L15" s="13"/>
      <c r="N15" s="29">
        <v>2</v>
      </c>
      <c r="O15" s="23"/>
      <c r="P15" s="52">
        <f t="shared" si="8"/>
        <v>-0.97814760073380569</v>
      </c>
      <c r="Q15" s="33"/>
      <c r="R15" s="26"/>
      <c r="S15" s="8"/>
      <c r="T15" s="8"/>
      <c r="U15" s="2"/>
      <c r="V15" s="2"/>
      <c r="W15" s="2"/>
      <c r="X15" s="2"/>
      <c r="Y15" s="2"/>
      <c r="Z15" s="2"/>
    </row>
    <row r="16" spans="1:26" ht="15.75" customHeight="1">
      <c r="A16" s="13"/>
      <c r="B16" s="27"/>
      <c r="C16" s="28"/>
      <c r="D16" s="25"/>
      <c r="E16" s="5"/>
      <c r="G16" s="28"/>
      <c r="H16" s="21"/>
      <c r="I16" s="13"/>
      <c r="J16" s="13"/>
      <c r="K16" s="13"/>
      <c r="L16" s="13"/>
      <c r="N16" s="29">
        <v>3</v>
      </c>
      <c r="O16" s="23"/>
      <c r="P16" s="52">
        <f t="shared" si="8"/>
        <v>0.99254615164132198</v>
      </c>
      <c r="Q16" s="33"/>
      <c r="R16" s="26"/>
      <c r="S16" s="33"/>
      <c r="T16" s="33"/>
    </row>
    <row r="17" spans="1:25" ht="15.75" customHeight="1">
      <c r="A17" s="2" t="s">
        <v>5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23</v>
      </c>
      <c r="G17" s="14" t="s">
        <v>37</v>
      </c>
      <c r="H17" s="39" t="s">
        <v>88</v>
      </c>
      <c r="N17" s="3">
        <v>4</v>
      </c>
      <c r="P17" s="52">
        <f t="shared" si="8"/>
        <v>-0.49999999999999978</v>
      </c>
      <c r="Q17" s="33"/>
      <c r="R17" s="33"/>
      <c r="S17" s="33"/>
      <c r="T17" s="33"/>
      <c r="V17" s="58" t="s">
        <v>93</v>
      </c>
      <c r="W17" s="58"/>
      <c r="X17" s="62">
        <f>C3</f>
        <v>43665</v>
      </c>
      <c r="Y17" s="63">
        <f>B3</f>
        <v>0.47222222222222221</v>
      </c>
    </row>
    <row r="18" spans="1:25" ht="15.75" customHeight="1">
      <c r="A18" s="55" t="s">
        <v>26</v>
      </c>
      <c r="B18" s="30">
        <v>9.178240740740741E-2</v>
      </c>
      <c r="C18" s="30">
        <v>9.178240740740741E-2</v>
      </c>
      <c r="D18" s="30">
        <f>C18-C18</f>
        <v>0</v>
      </c>
      <c r="E18" s="13">
        <v>14.760300000000001</v>
      </c>
      <c r="F18" s="32">
        <v>0.56400462962962961</v>
      </c>
      <c r="G18" s="33">
        <f>RANK(E18,E$18:E$22,0)</f>
        <v>1</v>
      </c>
      <c r="I18" s="15"/>
      <c r="J18" s="15"/>
      <c r="K18" s="35"/>
      <c r="N18" s="3">
        <v>5</v>
      </c>
      <c r="P18" s="52">
        <f t="shared" si="8"/>
        <v>1</v>
      </c>
      <c r="Q18" s="34"/>
      <c r="R18" s="33"/>
      <c r="S18" s="33"/>
      <c r="T18" s="33"/>
      <c r="V18" s="58" t="s">
        <v>27</v>
      </c>
      <c r="W18" s="58" t="s">
        <v>96</v>
      </c>
      <c r="X18" s="62">
        <f>X$17</f>
        <v>43665</v>
      </c>
      <c r="Y18" s="63">
        <f>VLOOKUP(V18,A$18:F$22,6,0)</f>
        <v>0.55892361111111111</v>
      </c>
    </row>
    <row r="19" spans="1:25" ht="15.75" customHeight="1">
      <c r="A19" s="55" t="s">
        <v>25</v>
      </c>
      <c r="B19" s="30">
        <v>8.9363425925925929E-2</v>
      </c>
      <c r="C19" s="30">
        <v>9.4050925925925927E-2</v>
      </c>
      <c r="D19" s="30">
        <f t="shared" ref="D19:D22" si="9">C19-C18</f>
        <v>2.2685185185185169E-3</v>
      </c>
      <c r="E19" s="13">
        <v>14.255000000000001</v>
      </c>
      <c r="F19" s="32">
        <v>0.56158564814814815</v>
      </c>
      <c r="G19" s="33">
        <f>RANK(E19,E$18:E$22,0)</f>
        <v>2</v>
      </c>
      <c r="I19" s="15"/>
      <c r="J19" s="15"/>
      <c r="K19" s="35"/>
      <c r="P19" s="34"/>
      <c r="Q19" s="34"/>
      <c r="R19" s="33"/>
      <c r="S19" s="33"/>
      <c r="T19" s="33"/>
      <c r="V19" s="58" t="s">
        <v>38</v>
      </c>
      <c r="W19" s="58" t="s">
        <v>98</v>
      </c>
      <c r="X19" s="62">
        <f t="shared" ref="X19:X22" si="10">X$17</f>
        <v>43665</v>
      </c>
      <c r="Y19" s="63">
        <f t="shared" ref="Y19:Y22" si="11">VLOOKUP(V19,A$18:F$22,6,0)</f>
        <v>0.57638888888888884</v>
      </c>
    </row>
    <row r="20" spans="1:25" ht="15.75" customHeight="1">
      <c r="A20" s="55" t="s">
        <v>24</v>
      </c>
      <c r="B20" s="30">
        <v>9.0254629629629629E-2</v>
      </c>
      <c r="C20" s="30">
        <v>9.5520833333333333E-2</v>
      </c>
      <c r="D20" s="30">
        <f t="shared" si="9"/>
        <v>1.4699074074074059E-3</v>
      </c>
      <c r="E20" s="13">
        <v>13.915990000000001</v>
      </c>
      <c r="F20" s="32">
        <v>0.56247685185185181</v>
      </c>
      <c r="G20" s="34">
        <v>4</v>
      </c>
      <c r="H20">
        <f>ROUND(20%*6,0)</f>
        <v>1</v>
      </c>
      <c r="I20" s="15"/>
      <c r="J20" s="15"/>
      <c r="K20" s="3" t="s">
        <v>73</v>
      </c>
      <c r="P20" s="34"/>
      <c r="Q20" s="50"/>
      <c r="R20" s="33"/>
      <c r="S20" s="33"/>
      <c r="T20" s="33"/>
      <c r="V20" s="58" t="s">
        <v>24</v>
      </c>
      <c r="W20" s="58" t="s">
        <v>94</v>
      </c>
      <c r="X20" s="62">
        <f t="shared" si="10"/>
        <v>43665</v>
      </c>
      <c r="Y20" s="63">
        <f t="shared" si="11"/>
        <v>0.56247685185185181</v>
      </c>
    </row>
    <row r="21" spans="1:25" ht="15.75" customHeight="1">
      <c r="A21" s="55" t="s">
        <v>27</v>
      </c>
      <c r="B21" s="30">
        <v>8.6701388888888883E-2</v>
      </c>
      <c r="C21" s="30">
        <v>0.10003472222222222</v>
      </c>
      <c r="D21" s="30">
        <f t="shared" si="9"/>
        <v>4.5138888888888867E-3</v>
      </c>
      <c r="E21" s="13">
        <v>13.062889999999999</v>
      </c>
      <c r="F21" s="32">
        <v>0.55892361111111111</v>
      </c>
      <c r="G21" s="34">
        <v>4</v>
      </c>
      <c r="I21" s="15"/>
      <c r="J21" s="15"/>
      <c r="K21" s="35"/>
      <c r="P21" s="33"/>
      <c r="Q21" s="33"/>
      <c r="R21" s="33"/>
      <c r="S21" s="33"/>
      <c r="T21" s="33"/>
      <c r="V21" s="58" t="s">
        <v>25</v>
      </c>
      <c r="W21" s="58" t="s">
        <v>95</v>
      </c>
      <c r="X21" s="62">
        <f t="shared" si="10"/>
        <v>43665</v>
      </c>
      <c r="Y21" s="63">
        <f t="shared" si="11"/>
        <v>0.56158564814814815</v>
      </c>
    </row>
    <row r="22" spans="1:25" ht="15.75" customHeight="1">
      <c r="A22" s="55" t="s">
        <v>38</v>
      </c>
      <c r="B22" s="30">
        <v>0.11041666666666666</v>
      </c>
      <c r="C22" s="30">
        <v>0.11002314814814815</v>
      </c>
      <c r="D22" s="30">
        <f t="shared" si="9"/>
        <v>9.9884259259259284E-3</v>
      </c>
      <c r="E22" s="36">
        <v>11.524749999999999</v>
      </c>
      <c r="F22" s="32">
        <v>0.57638888888888884</v>
      </c>
      <c r="G22" s="33">
        <f>RANK(E22,E$18:E$22,0)</f>
        <v>5</v>
      </c>
      <c r="I22" s="15"/>
      <c r="J22" s="13"/>
      <c r="P22" s="51"/>
      <c r="Q22" s="33"/>
      <c r="R22" s="33"/>
      <c r="S22" s="33"/>
      <c r="T22" s="33"/>
      <c r="V22" s="58" t="s">
        <v>26</v>
      </c>
      <c r="W22" s="58" t="s">
        <v>97</v>
      </c>
      <c r="X22" s="62">
        <f t="shared" si="10"/>
        <v>43665</v>
      </c>
      <c r="Y22" s="63">
        <f t="shared" si="11"/>
        <v>0.56400462962962961</v>
      </c>
    </row>
    <row r="23" spans="1:25" ht="15.75" customHeight="1">
      <c r="Q23" s="33"/>
      <c r="R23" s="33"/>
      <c r="S23" s="33"/>
      <c r="T23" s="33"/>
    </row>
    <row r="24" spans="1:25" ht="15.75" customHeight="1">
      <c r="P24" s="33"/>
      <c r="Q24" s="33"/>
      <c r="R24" s="33"/>
      <c r="S24" s="33"/>
      <c r="T24" s="33"/>
    </row>
    <row r="25" spans="1:25" ht="15.75" customHeight="1">
      <c r="P25" s="33"/>
      <c r="Q25" s="33"/>
      <c r="R25" s="33"/>
      <c r="S25" s="33"/>
      <c r="T25" s="33"/>
    </row>
    <row r="26" spans="1:25" ht="15.75" customHeight="1">
      <c r="A26" s="15"/>
      <c r="B26" s="36"/>
      <c r="C26" s="36"/>
      <c r="D26" s="13"/>
      <c r="E26" s="36"/>
      <c r="F26" s="13"/>
      <c r="G26" s="36"/>
      <c r="H26" s="34"/>
      <c r="P26" s="33"/>
      <c r="Q26" s="33"/>
      <c r="R26" s="33"/>
      <c r="S26" s="33"/>
      <c r="T26" s="33"/>
    </row>
    <row r="27" spans="1:25" ht="15.75" customHeight="1">
      <c r="A27" s="15"/>
      <c r="B27" s="5"/>
      <c r="C27" s="5"/>
      <c r="D27" s="5"/>
      <c r="E27" s="5"/>
      <c r="F27" s="5"/>
      <c r="P27" s="33"/>
      <c r="Q27" s="33"/>
      <c r="R27" s="33"/>
      <c r="S27" s="33"/>
      <c r="T27" s="33"/>
    </row>
    <row r="28" spans="1:25" ht="15.75" customHeight="1">
      <c r="A28" s="15"/>
      <c r="B28" s="5"/>
      <c r="C28" s="5"/>
      <c r="D28" s="5"/>
      <c r="E28" s="5"/>
      <c r="F28" s="5"/>
      <c r="P28" s="33"/>
      <c r="Q28" s="33"/>
      <c r="R28" s="33"/>
      <c r="S28" s="33"/>
      <c r="T28" s="33"/>
    </row>
    <row r="29" spans="1:25" ht="15.75" customHeight="1">
      <c r="B29" s="5"/>
      <c r="C29" s="5"/>
      <c r="D29" s="5"/>
      <c r="E29" s="5"/>
      <c r="F29" s="5"/>
      <c r="P29" s="33"/>
      <c r="Q29" s="33"/>
      <c r="R29" s="33"/>
      <c r="S29" s="33"/>
      <c r="T29" s="33"/>
    </row>
    <row r="30" spans="1:25" ht="15.75" customHeight="1">
      <c r="B30" s="5"/>
      <c r="C30" s="5"/>
      <c r="D30" s="5"/>
      <c r="E30" s="5"/>
      <c r="F30" s="5"/>
      <c r="P30" s="33"/>
      <c r="Q30" s="33"/>
      <c r="R30" s="33"/>
      <c r="S30" s="33"/>
      <c r="T30" s="33"/>
    </row>
    <row r="31" spans="1:25" ht="15.75" customHeight="1">
      <c r="B31" s="5"/>
      <c r="C31" s="5"/>
      <c r="D31" s="5"/>
      <c r="E31" s="5"/>
      <c r="F31" s="5"/>
      <c r="P31" s="33"/>
      <c r="Q31" s="33"/>
      <c r="R31" s="33"/>
      <c r="S31" s="33"/>
      <c r="T31" s="33"/>
    </row>
    <row r="32" spans="1:25" ht="15.75" customHeight="1">
      <c r="B32" s="5"/>
      <c r="C32" s="5"/>
      <c r="D32" s="5"/>
      <c r="E32" s="5"/>
      <c r="F32" s="5"/>
      <c r="P32" s="33"/>
      <c r="Q32" s="33"/>
      <c r="R32" s="33"/>
      <c r="S32" s="33"/>
      <c r="T32" s="33"/>
    </row>
    <row r="33" spans="2:20" ht="15.75" customHeight="1">
      <c r="B33" s="5"/>
      <c r="C33" s="5"/>
      <c r="D33" s="5"/>
      <c r="E33" s="5"/>
      <c r="F33" s="5"/>
      <c r="P33" s="33"/>
      <c r="Q33" s="33"/>
      <c r="R33" s="33"/>
      <c r="S33" s="33"/>
      <c r="T33" s="33"/>
    </row>
    <row r="34" spans="2:20" ht="15.75" customHeight="1">
      <c r="B34" s="5"/>
      <c r="C34" s="5"/>
      <c r="D34" s="5"/>
      <c r="E34" s="5"/>
      <c r="F34" s="5"/>
      <c r="P34" s="33"/>
      <c r="Q34" s="33"/>
      <c r="R34" s="33"/>
      <c r="S34" s="33"/>
      <c r="T34" s="33"/>
    </row>
    <row r="35" spans="2:20" ht="15.75" customHeight="1">
      <c r="B35" s="5"/>
      <c r="C35" s="5"/>
      <c r="D35" s="5"/>
      <c r="E35" s="5"/>
      <c r="F35" s="5"/>
      <c r="P35" s="33"/>
      <c r="Q35" s="33"/>
      <c r="R35" s="33"/>
      <c r="S35" s="33"/>
      <c r="T35" s="33"/>
    </row>
    <row r="36" spans="2:20" ht="15.75" customHeight="1">
      <c r="B36" s="5"/>
      <c r="C36" s="5"/>
      <c r="D36" s="5"/>
      <c r="E36" s="5"/>
      <c r="F36" s="5"/>
      <c r="P36" s="33"/>
      <c r="Q36" s="33"/>
      <c r="R36" s="33"/>
      <c r="S36" s="33"/>
      <c r="T36" s="33"/>
    </row>
    <row r="37" spans="2:20" ht="15.75" customHeight="1">
      <c r="B37" s="5"/>
      <c r="C37" s="5"/>
      <c r="D37" s="5"/>
      <c r="E37" s="5"/>
      <c r="F37" s="5"/>
      <c r="P37" s="33"/>
      <c r="Q37" s="33"/>
      <c r="R37" s="33"/>
      <c r="S37" s="33"/>
      <c r="T37" s="33"/>
    </row>
    <row r="38" spans="2:20" ht="15.75" customHeight="1">
      <c r="B38" s="5"/>
      <c r="C38" s="5"/>
      <c r="D38" s="5"/>
      <c r="E38" s="5"/>
      <c r="F38" s="5"/>
      <c r="P38" s="33"/>
      <c r="Q38" s="33"/>
      <c r="R38" s="33"/>
      <c r="S38" s="33"/>
      <c r="T38" s="33"/>
    </row>
    <row r="39" spans="2:20" ht="15.75" customHeight="1">
      <c r="B39" s="5"/>
      <c r="C39" s="5"/>
      <c r="D39" s="5"/>
      <c r="E39" s="5"/>
      <c r="F39" s="5"/>
      <c r="P39" s="33"/>
      <c r="Q39" s="33"/>
      <c r="R39" s="33"/>
      <c r="S39" s="33"/>
      <c r="T39" s="33"/>
    </row>
    <row r="40" spans="2:20" ht="15.75" customHeight="1">
      <c r="B40" s="5"/>
      <c r="C40" s="5"/>
      <c r="D40" s="5"/>
      <c r="E40" s="5"/>
      <c r="F40" s="5"/>
      <c r="P40" s="33"/>
      <c r="Q40" s="33"/>
      <c r="R40" s="33"/>
      <c r="S40" s="33"/>
      <c r="T40" s="33"/>
    </row>
    <row r="41" spans="2:20" ht="15.75" customHeight="1">
      <c r="B41" s="5"/>
      <c r="C41" s="5"/>
      <c r="D41" s="5"/>
      <c r="E41" s="5"/>
      <c r="F41" s="5"/>
      <c r="P41" s="33"/>
      <c r="Q41" s="33"/>
      <c r="R41" s="33"/>
      <c r="S41" s="33"/>
      <c r="T41" s="33"/>
    </row>
    <row r="42" spans="2:20" ht="15.75" customHeight="1">
      <c r="B42" s="5"/>
      <c r="C42" s="5"/>
      <c r="D42" s="5"/>
      <c r="E42" s="5"/>
      <c r="F42" s="5"/>
      <c r="P42" s="33"/>
      <c r="Q42" s="33"/>
      <c r="R42" s="33"/>
      <c r="S42" s="33"/>
      <c r="T42" s="33"/>
    </row>
    <row r="43" spans="2:20" ht="15.75" customHeight="1">
      <c r="B43" s="5"/>
      <c r="C43" s="5"/>
      <c r="D43" s="5"/>
      <c r="E43" s="5"/>
      <c r="F43" s="5"/>
      <c r="P43" s="33"/>
      <c r="Q43" s="33"/>
      <c r="R43" s="33"/>
      <c r="S43" s="33"/>
      <c r="T43" s="33"/>
    </row>
    <row r="44" spans="2:20" ht="15.75" customHeight="1">
      <c r="B44" s="5"/>
      <c r="C44" s="5"/>
      <c r="D44" s="5"/>
      <c r="E44" s="5"/>
      <c r="F44" s="5"/>
      <c r="P44" s="33"/>
      <c r="Q44" s="33"/>
      <c r="R44" s="33"/>
      <c r="S44" s="33"/>
      <c r="T44" s="33"/>
    </row>
    <row r="45" spans="2:20" ht="15.75" customHeight="1">
      <c r="B45" s="5"/>
      <c r="C45" s="5"/>
      <c r="D45" s="5"/>
      <c r="E45" s="5"/>
      <c r="F45" s="5"/>
      <c r="P45" s="33"/>
      <c r="Q45" s="33"/>
      <c r="R45" s="33"/>
      <c r="S45" s="33"/>
      <c r="T45" s="33"/>
    </row>
    <row r="46" spans="2:20" ht="15.75" customHeight="1">
      <c r="B46" s="5"/>
      <c r="C46" s="5"/>
      <c r="D46" s="5"/>
      <c r="E46" s="5"/>
      <c r="F46" s="5"/>
      <c r="P46" s="33"/>
      <c r="Q46" s="33"/>
      <c r="R46" s="33"/>
      <c r="S46" s="33"/>
      <c r="T46" s="33"/>
    </row>
    <row r="47" spans="2:20" ht="15.75" customHeight="1">
      <c r="B47" s="5"/>
      <c r="C47" s="5"/>
      <c r="D47" s="5"/>
      <c r="E47" s="5"/>
      <c r="F47" s="5"/>
      <c r="P47" s="33"/>
      <c r="Q47" s="33"/>
      <c r="R47" s="33"/>
      <c r="S47" s="33"/>
      <c r="T47" s="33"/>
    </row>
    <row r="48" spans="2:20" ht="15.75" customHeight="1">
      <c r="B48" s="5"/>
      <c r="C48" s="5"/>
      <c r="D48" s="5"/>
      <c r="E48" s="5"/>
      <c r="F48" s="5"/>
      <c r="P48" s="33"/>
      <c r="Q48" s="33"/>
      <c r="R48" s="33"/>
      <c r="S48" s="33"/>
      <c r="T48" s="33"/>
    </row>
    <row r="49" spans="2:20" ht="15.75" customHeight="1">
      <c r="B49" s="5"/>
      <c r="C49" s="5"/>
      <c r="D49" s="5"/>
      <c r="E49" s="5"/>
      <c r="F49" s="5"/>
      <c r="P49" s="33"/>
      <c r="Q49" s="33"/>
      <c r="R49" s="33"/>
      <c r="S49" s="33"/>
      <c r="T49" s="33"/>
    </row>
    <row r="50" spans="2:20" ht="15.75" customHeight="1">
      <c r="B50" s="5"/>
      <c r="C50" s="5"/>
      <c r="D50" s="5"/>
      <c r="E50" s="5"/>
      <c r="F50" s="5"/>
      <c r="P50" s="33"/>
      <c r="Q50" s="33"/>
      <c r="R50" s="33"/>
      <c r="S50" s="33"/>
      <c r="T50" s="33"/>
    </row>
    <row r="51" spans="2:20" ht="15.75" customHeight="1">
      <c r="B51" s="5"/>
      <c r="C51" s="5"/>
      <c r="D51" s="5"/>
      <c r="E51" s="5"/>
      <c r="F51" s="5"/>
      <c r="P51" s="33"/>
      <c r="Q51" s="33"/>
      <c r="R51" s="33"/>
      <c r="S51" s="33"/>
      <c r="T51" s="33"/>
    </row>
    <row r="52" spans="2:20" ht="15.75" customHeight="1">
      <c r="B52" s="5"/>
      <c r="C52" s="5"/>
      <c r="D52" s="5"/>
      <c r="E52" s="5"/>
      <c r="F52" s="5"/>
      <c r="P52" s="33"/>
      <c r="Q52" s="33"/>
      <c r="R52" s="33"/>
      <c r="S52" s="33"/>
      <c r="T52" s="33"/>
    </row>
    <row r="53" spans="2:20" ht="15.75" customHeight="1">
      <c r="B53" s="5"/>
      <c r="C53" s="5"/>
      <c r="D53" s="5"/>
      <c r="E53" s="5"/>
      <c r="F53" s="5"/>
      <c r="P53" s="33"/>
      <c r="Q53" s="33"/>
      <c r="R53" s="33"/>
      <c r="S53" s="33"/>
      <c r="T53" s="33"/>
    </row>
    <row r="54" spans="2:20" ht="15.75" customHeight="1">
      <c r="B54" s="5"/>
      <c r="C54" s="5"/>
      <c r="D54" s="5"/>
      <c r="E54" s="5"/>
      <c r="F54" s="5"/>
      <c r="P54" s="33"/>
      <c r="Q54" s="33"/>
      <c r="R54" s="33"/>
      <c r="S54" s="33"/>
      <c r="T54" s="33"/>
    </row>
    <row r="55" spans="2:20" ht="15.75" customHeight="1">
      <c r="B55" s="5"/>
      <c r="C55" s="5"/>
      <c r="D55" s="5"/>
      <c r="E55" s="5"/>
      <c r="F55" s="5"/>
      <c r="P55" s="33"/>
      <c r="Q55" s="33"/>
      <c r="R55" s="33"/>
      <c r="S55" s="33"/>
      <c r="T55" s="33"/>
    </row>
    <row r="56" spans="2:20" ht="15.75" customHeight="1">
      <c r="B56" s="5"/>
      <c r="C56" s="5"/>
      <c r="D56" s="5"/>
      <c r="E56" s="5"/>
      <c r="F56" s="5"/>
      <c r="P56" s="33"/>
      <c r="Q56" s="33"/>
      <c r="R56" s="33"/>
      <c r="S56" s="33"/>
      <c r="T56" s="33"/>
    </row>
    <row r="57" spans="2:20" ht="15.75" customHeight="1">
      <c r="B57" s="5"/>
      <c r="C57" s="5"/>
      <c r="D57" s="5"/>
      <c r="E57" s="5"/>
      <c r="F57" s="5"/>
      <c r="P57" s="33"/>
      <c r="Q57" s="33"/>
      <c r="R57" s="33"/>
      <c r="S57" s="33"/>
      <c r="T57" s="33"/>
    </row>
    <row r="58" spans="2:20" ht="15.75" customHeight="1">
      <c r="B58" s="5"/>
      <c r="C58" s="5"/>
      <c r="D58" s="5"/>
      <c r="E58" s="5"/>
      <c r="F58" s="5"/>
      <c r="P58" s="33"/>
      <c r="Q58" s="33"/>
      <c r="R58" s="33"/>
      <c r="S58" s="33"/>
      <c r="T58" s="33"/>
    </row>
    <row r="59" spans="2:20" ht="15.75" customHeight="1">
      <c r="B59" s="5"/>
      <c r="C59" s="5"/>
      <c r="D59" s="5"/>
      <c r="E59" s="5"/>
      <c r="F59" s="5"/>
      <c r="P59" s="33"/>
      <c r="Q59" s="33"/>
      <c r="R59" s="33"/>
      <c r="S59" s="33"/>
      <c r="T59" s="33"/>
    </row>
    <row r="60" spans="2:20" ht="15.75" customHeight="1">
      <c r="B60" s="5"/>
      <c r="C60" s="5"/>
      <c r="D60" s="5"/>
      <c r="E60" s="5"/>
      <c r="F60" s="5"/>
      <c r="P60" s="33"/>
      <c r="Q60" s="33"/>
      <c r="R60" s="33"/>
      <c r="S60" s="33"/>
      <c r="T60" s="33"/>
    </row>
    <row r="61" spans="2:20" ht="15.75" customHeight="1">
      <c r="B61" s="5"/>
      <c r="C61" s="5"/>
      <c r="D61" s="5"/>
      <c r="E61" s="5"/>
      <c r="F61" s="5"/>
      <c r="P61" s="33"/>
      <c r="Q61" s="33"/>
      <c r="R61" s="33"/>
      <c r="S61" s="33"/>
      <c r="T61" s="33"/>
    </row>
    <row r="62" spans="2:20" ht="15.75" customHeight="1">
      <c r="B62" s="5"/>
      <c r="C62" s="5"/>
      <c r="D62" s="5"/>
      <c r="E62" s="5"/>
      <c r="F62" s="5"/>
      <c r="P62" s="33"/>
      <c r="Q62" s="33"/>
      <c r="R62" s="33"/>
      <c r="S62" s="33"/>
      <c r="T62" s="33"/>
    </row>
    <row r="63" spans="2:20" ht="15.75" customHeight="1">
      <c r="B63" s="5"/>
      <c r="C63" s="5"/>
      <c r="D63" s="5"/>
      <c r="E63" s="5"/>
      <c r="F63" s="5"/>
      <c r="P63" s="33"/>
      <c r="Q63" s="33"/>
      <c r="R63" s="33"/>
      <c r="S63" s="33"/>
      <c r="T63" s="33"/>
    </row>
    <row r="64" spans="2:20" ht="15.75" customHeight="1">
      <c r="B64" s="5"/>
      <c r="C64" s="5"/>
      <c r="D64" s="5"/>
      <c r="E64" s="5"/>
      <c r="F64" s="5"/>
      <c r="P64" s="33"/>
      <c r="Q64" s="33"/>
      <c r="R64" s="33"/>
      <c r="S64" s="33"/>
      <c r="T64" s="33"/>
    </row>
    <row r="65" spans="2:20" ht="15.75" customHeight="1">
      <c r="B65" s="5"/>
      <c r="C65" s="5"/>
      <c r="D65" s="5"/>
      <c r="E65" s="5"/>
      <c r="F65" s="5"/>
      <c r="P65" s="33"/>
      <c r="Q65" s="33"/>
      <c r="R65" s="33"/>
      <c r="S65" s="33"/>
      <c r="T65" s="33"/>
    </row>
    <row r="66" spans="2:20" ht="15.75" customHeight="1">
      <c r="B66" s="5"/>
      <c r="C66" s="5"/>
      <c r="D66" s="5"/>
      <c r="E66" s="5"/>
      <c r="F66" s="5"/>
      <c r="P66" s="33"/>
      <c r="Q66" s="33"/>
      <c r="R66" s="33"/>
      <c r="S66" s="33"/>
      <c r="T66" s="33"/>
    </row>
    <row r="67" spans="2:20" ht="15.75" customHeight="1">
      <c r="B67" s="5"/>
      <c r="C67" s="5"/>
      <c r="D67" s="5"/>
      <c r="E67" s="5"/>
      <c r="F67" s="5"/>
      <c r="P67" s="33"/>
      <c r="Q67" s="33"/>
      <c r="R67" s="33"/>
      <c r="S67" s="33"/>
      <c r="T67" s="33"/>
    </row>
    <row r="68" spans="2:20" ht="15.75" customHeight="1">
      <c r="B68" s="5"/>
      <c r="C68" s="5"/>
      <c r="D68" s="5"/>
      <c r="E68" s="5"/>
      <c r="F68" s="5"/>
      <c r="P68" s="33"/>
      <c r="Q68" s="33"/>
      <c r="R68" s="33"/>
      <c r="S68" s="33"/>
      <c r="T68" s="33"/>
    </row>
    <row r="69" spans="2:20" ht="15.75" customHeight="1">
      <c r="B69" s="5"/>
      <c r="C69" s="5"/>
      <c r="D69" s="5"/>
      <c r="E69" s="5"/>
      <c r="F69" s="5"/>
      <c r="P69" s="33"/>
      <c r="Q69" s="33"/>
      <c r="R69" s="33"/>
      <c r="S69" s="33"/>
      <c r="T69" s="33"/>
    </row>
    <row r="70" spans="2:20" ht="15.75" customHeight="1">
      <c r="B70" s="5"/>
      <c r="C70" s="5"/>
      <c r="D70" s="5"/>
      <c r="E70" s="5"/>
      <c r="F70" s="5"/>
      <c r="P70" s="33"/>
      <c r="Q70" s="33"/>
      <c r="R70" s="33"/>
      <c r="S70" s="33"/>
      <c r="T70" s="33"/>
    </row>
    <row r="71" spans="2:20" ht="15.75" customHeight="1">
      <c r="B71" s="5"/>
      <c r="C71" s="5"/>
      <c r="D71" s="5"/>
      <c r="E71" s="5"/>
      <c r="F71" s="5"/>
      <c r="P71" s="33"/>
      <c r="Q71" s="33"/>
      <c r="R71" s="33"/>
      <c r="S71" s="33"/>
      <c r="T71" s="33"/>
    </row>
    <row r="72" spans="2:20" ht="15.75" customHeight="1">
      <c r="B72" s="5"/>
      <c r="C72" s="5"/>
      <c r="D72" s="5"/>
      <c r="E72" s="5"/>
      <c r="F72" s="5"/>
      <c r="P72" s="33"/>
      <c r="Q72" s="33"/>
      <c r="R72" s="33"/>
      <c r="S72" s="33"/>
      <c r="T72" s="33"/>
    </row>
    <row r="73" spans="2:20" ht="15.75" customHeight="1">
      <c r="B73" s="5"/>
      <c r="C73" s="5"/>
      <c r="D73" s="5"/>
      <c r="E73" s="5"/>
      <c r="F73" s="5"/>
      <c r="P73" s="33"/>
      <c r="Q73" s="33"/>
      <c r="R73" s="33"/>
      <c r="S73" s="33"/>
      <c r="T73" s="33"/>
    </row>
    <row r="74" spans="2:20" ht="15.75" customHeight="1">
      <c r="B74" s="5"/>
      <c r="C74" s="5"/>
      <c r="D74" s="5"/>
      <c r="E74" s="5"/>
      <c r="F74" s="5"/>
      <c r="P74" s="33"/>
      <c r="Q74" s="33"/>
      <c r="R74" s="33"/>
      <c r="S74" s="33"/>
      <c r="T74" s="33"/>
    </row>
    <row r="75" spans="2:20" ht="15.75" customHeight="1">
      <c r="B75" s="5"/>
      <c r="C75" s="5"/>
      <c r="D75" s="5"/>
      <c r="E75" s="5"/>
      <c r="F75" s="5"/>
      <c r="P75" s="33"/>
      <c r="Q75" s="33"/>
      <c r="R75" s="33"/>
      <c r="S75" s="33"/>
      <c r="T75" s="33"/>
    </row>
    <row r="76" spans="2:20" ht="15.75" customHeight="1">
      <c r="B76" s="5"/>
      <c r="C76" s="5"/>
      <c r="D76" s="5"/>
      <c r="E76" s="5"/>
      <c r="F76" s="5"/>
      <c r="P76" s="33"/>
      <c r="Q76" s="33"/>
      <c r="R76" s="33"/>
      <c r="S76" s="33"/>
      <c r="T76" s="33"/>
    </row>
    <row r="77" spans="2:20" ht="15.75" customHeight="1">
      <c r="B77" s="5"/>
      <c r="C77" s="5"/>
      <c r="D77" s="5"/>
      <c r="E77" s="5"/>
      <c r="F77" s="5"/>
      <c r="P77" s="33"/>
      <c r="Q77" s="33"/>
      <c r="R77" s="33"/>
      <c r="S77" s="33"/>
      <c r="T77" s="33"/>
    </row>
    <row r="78" spans="2:20" ht="15.75" customHeight="1">
      <c r="B78" s="5"/>
      <c r="C78" s="5"/>
      <c r="D78" s="5"/>
      <c r="E78" s="5"/>
      <c r="F78" s="5"/>
      <c r="P78" s="33"/>
      <c r="Q78" s="33"/>
      <c r="R78" s="33"/>
      <c r="S78" s="33"/>
      <c r="T78" s="33"/>
    </row>
    <row r="79" spans="2:20" ht="15.75" customHeight="1">
      <c r="B79" s="5"/>
      <c r="C79" s="5"/>
      <c r="D79" s="5"/>
      <c r="E79" s="5"/>
      <c r="F79" s="5"/>
      <c r="P79" s="33"/>
      <c r="Q79" s="33"/>
      <c r="R79" s="33"/>
      <c r="S79" s="33"/>
      <c r="T79" s="33"/>
    </row>
    <row r="80" spans="2:20" ht="15.75" customHeight="1">
      <c r="B80" s="5"/>
      <c r="C80" s="5"/>
      <c r="D80" s="5"/>
      <c r="E80" s="5"/>
      <c r="F80" s="5"/>
      <c r="P80" s="33"/>
      <c r="Q80" s="33"/>
      <c r="R80" s="33"/>
      <c r="S80" s="33"/>
      <c r="T80" s="33"/>
    </row>
    <row r="81" spans="2:20" ht="15.75" customHeight="1">
      <c r="B81" s="5"/>
      <c r="C81" s="5"/>
      <c r="D81" s="5"/>
      <c r="E81" s="5"/>
      <c r="F81" s="5"/>
      <c r="P81" s="33"/>
      <c r="Q81" s="33"/>
      <c r="R81" s="33"/>
      <c r="S81" s="33"/>
      <c r="T81" s="33"/>
    </row>
    <row r="82" spans="2:20" ht="15.75" customHeight="1">
      <c r="B82" s="5"/>
      <c r="C82" s="5"/>
      <c r="D82" s="5"/>
      <c r="E82" s="5"/>
      <c r="F82" s="5"/>
      <c r="P82" s="33"/>
      <c r="Q82" s="33"/>
      <c r="R82" s="33"/>
      <c r="S82" s="33"/>
      <c r="T82" s="33"/>
    </row>
    <row r="83" spans="2:20" ht="15.75" customHeight="1">
      <c r="B83" s="5"/>
      <c r="C83" s="5"/>
      <c r="D83" s="5"/>
      <c r="E83" s="5"/>
      <c r="F83" s="5"/>
      <c r="P83" s="33"/>
      <c r="Q83" s="33"/>
      <c r="R83" s="33"/>
      <c r="S83" s="33"/>
      <c r="T83" s="33"/>
    </row>
    <row r="84" spans="2:20" ht="15.75" customHeight="1">
      <c r="B84" s="5"/>
      <c r="C84" s="5"/>
      <c r="D84" s="5"/>
      <c r="E84" s="5"/>
      <c r="F84" s="5"/>
      <c r="P84" s="33"/>
      <c r="Q84" s="33"/>
      <c r="R84" s="33"/>
      <c r="S84" s="33"/>
      <c r="T84" s="33"/>
    </row>
    <row r="85" spans="2:20" ht="15.75" customHeight="1">
      <c r="B85" s="5"/>
      <c r="C85" s="5"/>
      <c r="D85" s="5"/>
      <c r="E85" s="5"/>
      <c r="F85" s="5"/>
      <c r="P85" s="33"/>
      <c r="Q85" s="33"/>
      <c r="R85" s="33"/>
      <c r="S85" s="33"/>
      <c r="T85" s="33"/>
    </row>
    <row r="86" spans="2:20" ht="15.75" customHeight="1">
      <c r="B86" s="5"/>
      <c r="C86" s="5"/>
      <c r="D86" s="5"/>
      <c r="E86" s="5"/>
      <c r="F86" s="5"/>
      <c r="P86" s="33"/>
      <c r="Q86" s="33"/>
      <c r="R86" s="33"/>
      <c r="S86" s="33"/>
      <c r="T86" s="33"/>
    </row>
    <row r="87" spans="2:20" ht="15.75" customHeight="1">
      <c r="B87" s="5"/>
      <c r="C87" s="5"/>
      <c r="D87" s="5"/>
      <c r="E87" s="5"/>
      <c r="F87" s="5"/>
      <c r="P87" s="33"/>
      <c r="Q87" s="33"/>
      <c r="R87" s="33"/>
      <c r="S87" s="33"/>
      <c r="T87" s="33"/>
    </row>
    <row r="88" spans="2:20" ht="15.75" customHeight="1">
      <c r="B88" s="5"/>
      <c r="C88" s="5"/>
      <c r="D88" s="5"/>
      <c r="E88" s="5"/>
      <c r="F88" s="5"/>
      <c r="P88" s="33"/>
      <c r="Q88" s="33"/>
      <c r="R88" s="33"/>
      <c r="S88" s="33"/>
      <c r="T88" s="33"/>
    </row>
    <row r="89" spans="2:20" ht="15.75" customHeight="1">
      <c r="B89" s="5"/>
      <c r="C89" s="5"/>
      <c r="D89" s="5"/>
      <c r="E89" s="5"/>
      <c r="F89" s="5"/>
      <c r="P89" s="33"/>
      <c r="Q89" s="33"/>
      <c r="R89" s="33"/>
      <c r="S89" s="33"/>
      <c r="T89" s="33"/>
    </row>
    <row r="90" spans="2:20" ht="15.75" customHeight="1">
      <c r="B90" s="5"/>
      <c r="C90" s="5"/>
      <c r="D90" s="5"/>
      <c r="E90" s="5"/>
      <c r="F90" s="5"/>
      <c r="P90" s="33"/>
      <c r="Q90" s="33"/>
      <c r="R90" s="33"/>
      <c r="S90" s="33"/>
      <c r="T90" s="33"/>
    </row>
    <row r="91" spans="2:20" ht="15.75" customHeight="1">
      <c r="B91" s="5"/>
      <c r="C91" s="5"/>
      <c r="D91" s="5"/>
      <c r="E91" s="5"/>
      <c r="F91" s="5"/>
      <c r="P91" s="33"/>
      <c r="Q91" s="33"/>
      <c r="R91" s="33"/>
      <c r="S91" s="33"/>
      <c r="T91" s="33"/>
    </row>
    <row r="92" spans="2:20" ht="15.75" customHeight="1">
      <c r="B92" s="5"/>
      <c r="C92" s="5"/>
      <c r="D92" s="5"/>
      <c r="E92" s="5"/>
      <c r="F92" s="5"/>
      <c r="P92" s="33"/>
      <c r="Q92" s="33"/>
      <c r="R92" s="33"/>
      <c r="S92" s="33"/>
      <c r="T92" s="33"/>
    </row>
    <row r="93" spans="2:20" ht="15.75" customHeight="1">
      <c r="B93" s="5"/>
      <c r="C93" s="5"/>
      <c r="D93" s="5"/>
      <c r="E93" s="5"/>
      <c r="F93" s="5"/>
      <c r="P93" s="33"/>
      <c r="Q93" s="33"/>
      <c r="R93" s="33"/>
      <c r="S93" s="33"/>
      <c r="T93" s="33"/>
    </row>
    <row r="94" spans="2:20" ht="15.75" customHeight="1">
      <c r="B94" s="5"/>
      <c r="C94" s="5"/>
      <c r="D94" s="5"/>
      <c r="E94" s="5"/>
      <c r="F94" s="5"/>
      <c r="P94" s="33"/>
      <c r="Q94" s="33"/>
      <c r="R94" s="33"/>
      <c r="S94" s="33"/>
      <c r="T94" s="33"/>
    </row>
    <row r="95" spans="2:20" ht="15.75" customHeight="1">
      <c r="B95" s="5"/>
      <c r="C95" s="5"/>
      <c r="D95" s="5"/>
      <c r="E95" s="5"/>
      <c r="F95" s="5"/>
      <c r="P95" s="33"/>
      <c r="Q95" s="33"/>
      <c r="R95" s="33"/>
      <c r="S95" s="33"/>
      <c r="T95" s="33"/>
    </row>
    <row r="96" spans="2:20" ht="15.75" customHeight="1">
      <c r="B96" s="5"/>
      <c r="C96" s="5"/>
      <c r="D96" s="5"/>
      <c r="E96" s="5"/>
      <c r="F96" s="5"/>
      <c r="P96" s="33"/>
      <c r="Q96" s="33"/>
      <c r="R96" s="33"/>
      <c r="S96" s="33"/>
      <c r="T96" s="33"/>
    </row>
    <row r="97" spans="2:20" ht="15.75" customHeight="1">
      <c r="B97" s="5"/>
      <c r="C97" s="5"/>
      <c r="D97" s="5"/>
      <c r="E97" s="5"/>
      <c r="F97" s="5"/>
      <c r="P97" s="33"/>
      <c r="Q97" s="33"/>
      <c r="R97" s="33"/>
      <c r="S97" s="33"/>
      <c r="T97" s="33"/>
    </row>
    <row r="98" spans="2:20" ht="15.75" customHeight="1">
      <c r="B98" s="5"/>
      <c r="C98" s="5"/>
      <c r="D98" s="5"/>
      <c r="E98" s="5"/>
      <c r="F98" s="5"/>
      <c r="P98" s="33"/>
      <c r="Q98" s="33"/>
      <c r="R98" s="33"/>
      <c r="S98" s="33"/>
      <c r="T98" s="33"/>
    </row>
    <row r="99" spans="2:20" ht="15.75" customHeight="1">
      <c r="B99" s="5"/>
      <c r="C99" s="5"/>
      <c r="D99" s="5"/>
      <c r="E99" s="5"/>
      <c r="F99" s="5"/>
      <c r="P99" s="33"/>
      <c r="Q99" s="33"/>
      <c r="R99" s="33"/>
      <c r="S99" s="33"/>
      <c r="T99" s="33"/>
    </row>
    <row r="100" spans="2:20" ht="15.75" customHeight="1">
      <c r="B100" s="5"/>
      <c r="C100" s="5"/>
      <c r="D100" s="5"/>
      <c r="E100" s="5"/>
      <c r="F100" s="5"/>
      <c r="P100" s="33"/>
      <c r="Q100" s="33"/>
      <c r="R100" s="33"/>
      <c r="S100" s="33"/>
      <c r="T100" s="33"/>
    </row>
    <row r="101" spans="2:20" ht="15.75" customHeight="1">
      <c r="B101" s="5"/>
      <c r="C101" s="5"/>
      <c r="D101" s="5"/>
      <c r="E101" s="5"/>
      <c r="F101" s="5"/>
      <c r="P101" s="33"/>
      <c r="Q101" s="33"/>
      <c r="R101" s="33"/>
      <c r="S101" s="33"/>
      <c r="T101" s="33"/>
    </row>
    <row r="102" spans="2:20" ht="15.75" customHeight="1">
      <c r="B102" s="5"/>
      <c r="C102" s="5"/>
      <c r="D102" s="5"/>
      <c r="E102" s="5"/>
      <c r="F102" s="5"/>
      <c r="P102" s="33"/>
      <c r="Q102" s="33"/>
      <c r="R102" s="33"/>
      <c r="S102" s="33"/>
      <c r="T102" s="33"/>
    </row>
    <row r="103" spans="2:20" ht="15.75" customHeight="1">
      <c r="B103" s="5"/>
      <c r="C103" s="5"/>
      <c r="D103" s="5"/>
      <c r="E103" s="5"/>
      <c r="F103" s="5"/>
      <c r="P103" s="33"/>
      <c r="Q103" s="33"/>
      <c r="R103" s="33"/>
      <c r="S103" s="33"/>
      <c r="T103" s="33"/>
    </row>
    <row r="104" spans="2:20" ht="15.75" customHeight="1">
      <c r="B104" s="5"/>
      <c r="C104" s="5"/>
      <c r="D104" s="5"/>
      <c r="E104" s="5"/>
      <c r="F104" s="5"/>
      <c r="P104" s="33"/>
      <c r="Q104" s="33"/>
      <c r="R104" s="33"/>
      <c r="S104" s="33"/>
      <c r="T104" s="33"/>
    </row>
    <row r="105" spans="2:20" ht="15.75" customHeight="1">
      <c r="B105" s="5"/>
      <c r="C105" s="5"/>
      <c r="D105" s="5"/>
      <c r="E105" s="5"/>
      <c r="F105" s="5"/>
      <c r="P105" s="33"/>
      <c r="Q105" s="33"/>
      <c r="R105" s="33"/>
      <c r="S105" s="33"/>
      <c r="T105" s="33"/>
    </row>
    <row r="106" spans="2:20" ht="15.75" customHeight="1">
      <c r="B106" s="5"/>
      <c r="C106" s="5"/>
      <c r="D106" s="5"/>
      <c r="E106" s="5"/>
      <c r="F106" s="5"/>
      <c r="P106" s="33"/>
      <c r="Q106" s="33"/>
      <c r="R106" s="33"/>
      <c r="S106" s="33"/>
      <c r="T106" s="33"/>
    </row>
    <row r="107" spans="2:20" ht="15.75" customHeight="1">
      <c r="B107" s="5"/>
      <c r="C107" s="5"/>
      <c r="D107" s="5"/>
      <c r="E107" s="5"/>
      <c r="F107" s="5"/>
      <c r="P107" s="33"/>
      <c r="Q107" s="33"/>
      <c r="R107" s="33"/>
      <c r="S107" s="33"/>
      <c r="T107" s="33"/>
    </row>
    <row r="108" spans="2:20" ht="15.75" customHeight="1">
      <c r="B108" s="5"/>
      <c r="C108" s="5"/>
      <c r="D108" s="5"/>
      <c r="E108" s="5"/>
      <c r="F108" s="5"/>
      <c r="P108" s="33"/>
      <c r="Q108" s="33"/>
      <c r="R108" s="33"/>
      <c r="S108" s="33"/>
      <c r="T108" s="33"/>
    </row>
    <row r="109" spans="2:20" ht="15.75" customHeight="1">
      <c r="B109" s="5"/>
      <c r="C109" s="5"/>
      <c r="D109" s="5"/>
      <c r="E109" s="5"/>
      <c r="F109" s="5"/>
      <c r="P109" s="33"/>
      <c r="Q109" s="33"/>
      <c r="R109" s="33"/>
      <c r="S109" s="33"/>
      <c r="T109" s="33"/>
    </row>
    <row r="110" spans="2:20" ht="15.75" customHeight="1">
      <c r="B110" s="5"/>
      <c r="C110" s="5"/>
      <c r="D110" s="5"/>
      <c r="E110" s="5"/>
      <c r="F110" s="5"/>
      <c r="P110" s="33"/>
      <c r="Q110" s="33"/>
      <c r="R110" s="33"/>
      <c r="S110" s="33"/>
      <c r="T110" s="33"/>
    </row>
    <row r="111" spans="2:20" ht="15.75" customHeight="1">
      <c r="B111" s="5"/>
      <c r="C111" s="5"/>
      <c r="D111" s="5"/>
      <c r="E111" s="5"/>
      <c r="F111" s="5"/>
      <c r="P111" s="33"/>
      <c r="Q111" s="33"/>
      <c r="R111" s="33"/>
      <c r="S111" s="33"/>
      <c r="T111" s="33"/>
    </row>
    <row r="112" spans="2:20" ht="15.75" customHeight="1">
      <c r="B112" s="5"/>
      <c r="C112" s="5"/>
      <c r="D112" s="5"/>
      <c r="E112" s="5"/>
      <c r="F112" s="5"/>
      <c r="P112" s="33"/>
      <c r="Q112" s="33"/>
      <c r="R112" s="33"/>
      <c r="S112" s="33"/>
      <c r="T112" s="33"/>
    </row>
    <row r="113" spans="2:20" ht="15.75" customHeight="1">
      <c r="B113" s="5"/>
      <c r="C113" s="5"/>
      <c r="D113" s="5"/>
      <c r="E113" s="5"/>
      <c r="F113" s="5"/>
      <c r="P113" s="33"/>
      <c r="Q113" s="33"/>
      <c r="R113" s="33"/>
      <c r="S113" s="33"/>
      <c r="T113" s="33"/>
    </row>
    <row r="114" spans="2:20" ht="15.75" customHeight="1">
      <c r="B114" s="5"/>
      <c r="C114" s="5"/>
      <c r="D114" s="5"/>
      <c r="E114" s="5"/>
      <c r="F114" s="5"/>
      <c r="P114" s="33"/>
      <c r="Q114" s="33"/>
      <c r="R114" s="33"/>
      <c r="S114" s="33"/>
      <c r="T114" s="33"/>
    </row>
    <row r="115" spans="2:20" ht="15.75" customHeight="1">
      <c r="B115" s="5"/>
      <c r="C115" s="5"/>
      <c r="D115" s="5"/>
      <c r="E115" s="5"/>
      <c r="F115" s="5"/>
      <c r="P115" s="33"/>
      <c r="Q115" s="33"/>
      <c r="R115" s="33"/>
      <c r="S115" s="33"/>
      <c r="T115" s="33"/>
    </row>
    <row r="116" spans="2:20" ht="15.75" customHeight="1">
      <c r="B116" s="5"/>
      <c r="C116" s="5"/>
      <c r="D116" s="5"/>
      <c r="E116" s="5"/>
      <c r="F116" s="5"/>
      <c r="P116" s="33"/>
      <c r="Q116" s="33"/>
      <c r="R116" s="33"/>
      <c r="S116" s="33"/>
      <c r="T116" s="33"/>
    </row>
    <row r="117" spans="2:20" ht="15.75" customHeight="1">
      <c r="B117" s="5"/>
      <c r="C117" s="5"/>
      <c r="D117" s="5"/>
      <c r="E117" s="5"/>
      <c r="F117" s="5"/>
      <c r="P117" s="33"/>
      <c r="Q117" s="33"/>
      <c r="R117" s="33"/>
      <c r="S117" s="33"/>
      <c r="T117" s="33"/>
    </row>
    <row r="118" spans="2:20" ht="15.75" customHeight="1">
      <c r="B118" s="5"/>
      <c r="C118" s="5"/>
      <c r="D118" s="5"/>
      <c r="E118" s="5"/>
      <c r="F118" s="5"/>
      <c r="P118" s="33"/>
      <c r="Q118" s="33"/>
      <c r="R118" s="33"/>
      <c r="S118" s="33"/>
      <c r="T118" s="33"/>
    </row>
    <row r="119" spans="2:20" ht="15.75" customHeight="1">
      <c r="B119" s="5"/>
      <c r="C119" s="5"/>
      <c r="D119" s="5"/>
      <c r="E119" s="5"/>
      <c r="F119" s="5"/>
      <c r="P119" s="33"/>
      <c r="Q119" s="33"/>
      <c r="R119" s="33"/>
      <c r="S119" s="33"/>
      <c r="T119" s="33"/>
    </row>
    <row r="120" spans="2:20" ht="15.75" customHeight="1">
      <c r="B120" s="5"/>
      <c r="C120" s="5"/>
      <c r="D120" s="5"/>
      <c r="E120" s="5"/>
      <c r="F120" s="5"/>
      <c r="P120" s="33"/>
      <c r="Q120" s="33"/>
      <c r="R120" s="33"/>
      <c r="S120" s="33"/>
      <c r="T120" s="33"/>
    </row>
    <row r="121" spans="2:20" ht="15.75" customHeight="1">
      <c r="B121" s="5"/>
      <c r="C121" s="5"/>
      <c r="D121" s="5"/>
      <c r="E121" s="5"/>
      <c r="F121" s="5"/>
      <c r="P121" s="33"/>
      <c r="Q121" s="33"/>
      <c r="R121" s="33"/>
      <c r="S121" s="33"/>
      <c r="T121" s="33"/>
    </row>
    <row r="122" spans="2:20" ht="15.75" customHeight="1">
      <c r="B122" s="5"/>
      <c r="C122" s="5"/>
      <c r="D122" s="5"/>
      <c r="E122" s="5"/>
      <c r="F122" s="5"/>
      <c r="P122" s="33"/>
      <c r="Q122" s="33"/>
      <c r="R122" s="33"/>
      <c r="S122" s="33"/>
      <c r="T122" s="33"/>
    </row>
    <row r="123" spans="2:20" ht="15.75" customHeight="1">
      <c r="B123" s="5"/>
      <c r="C123" s="5"/>
      <c r="D123" s="5"/>
      <c r="E123" s="5"/>
      <c r="F123" s="5"/>
      <c r="P123" s="33"/>
      <c r="Q123" s="33"/>
      <c r="R123" s="33"/>
      <c r="S123" s="33"/>
      <c r="T123" s="33"/>
    </row>
    <row r="124" spans="2:20" ht="15.75" customHeight="1">
      <c r="B124" s="5"/>
      <c r="C124" s="5"/>
      <c r="D124" s="5"/>
      <c r="E124" s="5"/>
      <c r="F124" s="5"/>
      <c r="P124" s="33"/>
      <c r="Q124" s="33"/>
      <c r="R124" s="33"/>
      <c r="S124" s="33"/>
      <c r="T124" s="33"/>
    </row>
    <row r="125" spans="2:20" ht="15.75" customHeight="1">
      <c r="B125" s="5"/>
      <c r="C125" s="5"/>
      <c r="D125" s="5"/>
      <c r="E125" s="5"/>
      <c r="F125" s="5"/>
      <c r="P125" s="33"/>
      <c r="Q125" s="33"/>
      <c r="R125" s="33"/>
      <c r="S125" s="33"/>
      <c r="T125" s="33"/>
    </row>
    <row r="126" spans="2:20" ht="15.75" customHeight="1">
      <c r="B126" s="5"/>
      <c r="C126" s="5"/>
      <c r="D126" s="5"/>
      <c r="E126" s="5"/>
      <c r="F126" s="5"/>
      <c r="P126" s="33"/>
      <c r="Q126" s="33"/>
      <c r="R126" s="33"/>
      <c r="S126" s="33"/>
      <c r="T126" s="33"/>
    </row>
    <row r="127" spans="2:20" ht="15.75" customHeight="1">
      <c r="B127" s="5"/>
      <c r="C127" s="5"/>
      <c r="D127" s="5"/>
      <c r="E127" s="5"/>
      <c r="F127" s="5"/>
      <c r="P127" s="33"/>
      <c r="Q127" s="33"/>
      <c r="R127" s="33"/>
      <c r="S127" s="33"/>
      <c r="T127" s="33"/>
    </row>
    <row r="128" spans="2:20" ht="15.75" customHeight="1">
      <c r="B128" s="5"/>
      <c r="C128" s="5"/>
      <c r="D128" s="5"/>
      <c r="E128" s="5"/>
      <c r="F128" s="5"/>
      <c r="P128" s="33"/>
      <c r="Q128" s="33"/>
      <c r="R128" s="33"/>
      <c r="S128" s="33"/>
      <c r="T128" s="33"/>
    </row>
    <row r="129" spans="2:20" ht="15.75" customHeight="1">
      <c r="B129" s="5"/>
      <c r="C129" s="5"/>
      <c r="D129" s="5"/>
      <c r="E129" s="5"/>
      <c r="F129" s="5"/>
      <c r="P129" s="33"/>
      <c r="Q129" s="33"/>
      <c r="R129" s="33"/>
      <c r="S129" s="33"/>
      <c r="T129" s="33"/>
    </row>
    <row r="130" spans="2:20" ht="15.75" customHeight="1">
      <c r="B130" s="5"/>
      <c r="C130" s="5"/>
      <c r="D130" s="5"/>
      <c r="E130" s="5"/>
      <c r="F130" s="5"/>
      <c r="P130" s="33"/>
      <c r="Q130" s="33"/>
      <c r="R130" s="33"/>
      <c r="S130" s="33"/>
      <c r="T130" s="33"/>
    </row>
    <row r="131" spans="2:20" ht="15.75" customHeight="1">
      <c r="B131" s="5"/>
      <c r="C131" s="5"/>
      <c r="D131" s="5"/>
      <c r="E131" s="5"/>
      <c r="F131" s="5"/>
      <c r="P131" s="33"/>
      <c r="Q131" s="33"/>
      <c r="R131" s="33"/>
      <c r="S131" s="33"/>
      <c r="T131" s="33"/>
    </row>
    <row r="132" spans="2:20" ht="15.75" customHeight="1">
      <c r="B132" s="5"/>
      <c r="C132" s="5"/>
      <c r="D132" s="5"/>
      <c r="E132" s="5"/>
      <c r="F132" s="5"/>
      <c r="P132" s="33"/>
      <c r="Q132" s="33"/>
      <c r="R132" s="33"/>
      <c r="S132" s="33"/>
      <c r="T132" s="33"/>
    </row>
    <row r="133" spans="2:20" ht="15.75" customHeight="1">
      <c r="B133" s="5"/>
      <c r="C133" s="5"/>
      <c r="D133" s="5"/>
      <c r="E133" s="5"/>
      <c r="F133" s="5"/>
      <c r="P133" s="33"/>
      <c r="Q133" s="33"/>
      <c r="R133" s="33"/>
      <c r="S133" s="33"/>
      <c r="T133" s="33"/>
    </row>
    <row r="134" spans="2:20" ht="15.75" customHeight="1">
      <c r="B134" s="5"/>
      <c r="C134" s="5"/>
      <c r="D134" s="5"/>
      <c r="E134" s="5"/>
      <c r="F134" s="5"/>
      <c r="P134" s="33"/>
      <c r="Q134" s="33"/>
      <c r="R134" s="33"/>
      <c r="S134" s="33"/>
      <c r="T134" s="33"/>
    </row>
    <row r="135" spans="2:20" ht="15.75" customHeight="1">
      <c r="B135" s="5"/>
      <c r="C135" s="5"/>
      <c r="D135" s="5"/>
      <c r="E135" s="5"/>
      <c r="F135" s="5"/>
      <c r="P135" s="33"/>
      <c r="Q135" s="33"/>
      <c r="R135" s="33"/>
      <c r="S135" s="33"/>
      <c r="T135" s="33"/>
    </row>
    <row r="136" spans="2:20" ht="15.75" customHeight="1">
      <c r="B136" s="5"/>
      <c r="C136" s="5"/>
      <c r="D136" s="5"/>
      <c r="E136" s="5"/>
      <c r="F136" s="5"/>
      <c r="P136" s="33"/>
      <c r="Q136" s="33"/>
      <c r="R136" s="33"/>
      <c r="S136" s="33"/>
      <c r="T136" s="33"/>
    </row>
    <row r="137" spans="2:20" ht="15.75" customHeight="1">
      <c r="B137" s="5"/>
      <c r="C137" s="5"/>
      <c r="D137" s="5"/>
      <c r="E137" s="5"/>
      <c r="F137" s="5"/>
      <c r="P137" s="33"/>
      <c r="Q137" s="33"/>
      <c r="R137" s="33"/>
      <c r="S137" s="33"/>
      <c r="T137" s="33"/>
    </row>
    <row r="138" spans="2:20" ht="15.75" customHeight="1">
      <c r="B138" s="5"/>
      <c r="C138" s="5"/>
      <c r="D138" s="5"/>
      <c r="E138" s="5"/>
      <c r="F138" s="5"/>
      <c r="P138" s="33"/>
      <c r="Q138" s="33"/>
      <c r="R138" s="33"/>
      <c r="S138" s="33"/>
      <c r="T138" s="33"/>
    </row>
    <row r="139" spans="2:20" ht="15.75" customHeight="1">
      <c r="B139" s="5"/>
      <c r="C139" s="5"/>
      <c r="D139" s="5"/>
      <c r="E139" s="5"/>
      <c r="F139" s="5"/>
      <c r="P139" s="33"/>
      <c r="Q139" s="33"/>
      <c r="R139" s="33"/>
      <c r="S139" s="33"/>
      <c r="T139" s="33"/>
    </row>
    <row r="140" spans="2:20" ht="15.75" customHeight="1">
      <c r="B140" s="5"/>
      <c r="C140" s="5"/>
      <c r="D140" s="5"/>
      <c r="E140" s="5"/>
      <c r="F140" s="5"/>
      <c r="P140" s="33"/>
      <c r="Q140" s="33"/>
      <c r="R140" s="33"/>
      <c r="S140" s="33"/>
      <c r="T140" s="33"/>
    </row>
    <row r="141" spans="2:20" ht="15.75" customHeight="1">
      <c r="B141" s="5"/>
      <c r="C141" s="5"/>
      <c r="D141" s="5"/>
      <c r="E141" s="5"/>
      <c r="F141" s="5"/>
      <c r="P141" s="33"/>
      <c r="Q141" s="33"/>
      <c r="R141" s="33"/>
      <c r="S141" s="33"/>
      <c r="T141" s="33"/>
    </row>
    <row r="142" spans="2:20" ht="15.75" customHeight="1">
      <c r="B142" s="5"/>
      <c r="C142" s="5"/>
      <c r="D142" s="5"/>
      <c r="E142" s="5"/>
      <c r="F142" s="5"/>
      <c r="P142" s="33"/>
      <c r="Q142" s="33"/>
      <c r="R142" s="33"/>
      <c r="S142" s="33"/>
      <c r="T142" s="33"/>
    </row>
    <row r="143" spans="2:20" ht="15.75" customHeight="1">
      <c r="B143" s="5"/>
      <c r="C143" s="5"/>
      <c r="D143" s="5"/>
      <c r="E143" s="5"/>
      <c r="F143" s="5"/>
      <c r="P143" s="33"/>
      <c r="Q143" s="33"/>
      <c r="R143" s="33"/>
      <c r="S143" s="33"/>
      <c r="T143" s="33"/>
    </row>
    <row r="144" spans="2:20" ht="15.75" customHeight="1">
      <c r="B144" s="5"/>
      <c r="C144" s="5"/>
      <c r="D144" s="5"/>
      <c r="E144" s="5"/>
      <c r="F144" s="5"/>
      <c r="P144" s="33"/>
      <c r="Q144" s="33"/>
      <c r="R144" s="33"/>
      <c r="S144" s="33"/>
      <c r="T144" s="33"/>
    </row>
    <row r="145" spans="2:20" ht="15.75" customHeight="1">
      <c r="B145" s="5"/>
      <c r="C145" s="5"/>
      <c r="D145" s="5"/>
      <c r="E145" s="5"/>
      <c r="F145" s="5"/>
      <c r="P145" s="33"/>
      <c r="Q145" s="33"/>
      <c r="R145" s="33"/>
      <c r="S145" s="33"/>
      <c r="T145" s="33"/>
    </row>
    <row r="146" spans="2:20" ht="15.75" customHeight="1">
      <c r="B146" s="5"/>
      <c r="C146" s="5"/>
      <c r="D146" s="5"/>
      <c r="E146" s="5"/>
      <c r="F146" s="5"/>
      <c r="P146" s="33"/>
      <c r="Q146" s="33"/>
      <c r="R146" s="33"/>
      <c r="S146" s="33"/>
      <c r="T146" s="33"/>
    </row>
    <row r="147" spans="2:20" ht="15.75" customHeight="1">
      <c r="B147" s="5"/>
      <c r="C147" s="5"/>
      <c r="D147" s="5"/>
      <c r="E147" s="5"/>
      <c r="F147" s="5"/>
      <c r="P147" s="33"/>
      <c r="Q147" s="33"/>
      <c r="R147" s="33"/>
      <c r="S147" s="33"/>
      <c r="T147" s="33"/>
    </row>
    <row r="148" spans="2:20" ht="15.75" customHeight="1">
      <c r="B148" s="5"/>
      <c r="C148" s="5"/>
      <c r="D148" s="5"/>
      <c r="E148" s="5"/>
      <c r="F148" s="5"/>
      <c r="P148" s="33"/>
      <c r="Q148" s="33"/>
      <c r="R148" s="33"/>
      <c r="S148" s="33"/>
      <c r="T148" s="33"/>
    </row>
    <row r="149" spans="2:20" ht="15.75" customHeight="1">
      <c r="B149" s="5"/>
      <c r="C149" s="5"/>
      <c r="D149" s="5"/>
      <c r="E149" s="5"/>
      <c r="F149" s="5"/>
      <c r="P149" s="33"/>
      <c r="Q149" s="33"/>
      <c r="R149" s="33"/>
      <c r="S149" s="33"/>
      <c r="T149" s="33"/>
    </row>
    <row r="150" spans="2:20" ht="15.75" customHeight="1">
      <c r="B150" s="5"/>
      <c r="C150" s="5"/>
      <c r="D150" s="5"/>
      <c r="E150" s="5"/>
      <c r="F150" s="5"/>
      <c r="P150" s="33"/>
      <c r="Q150" s="33"/>
      <c r="R150" s="33"/>
      <c r="S150" s="33"/>
      <c r="T150" s="33"/>
    </row>
    <row r="151" spans="2:20" ht="15.75" customHeight="1">
      <c r="B151" s="5"/>
      <c r="C151" s="5"/>
      <c r="D151" s="5"/>
      <c r="E151" s="5"/>
      <c r="F151" s="5"/>
      <c r="P151" s="33"/>
      <c r="Q151" s="33"/>
      <c r="R151" s="33"/>
      <c r="S151" s="33"/>
      <c r="T151" s="33"/>
    </row>
    <row r="152" spans="2:20" ht="15.75" customHeight="1">
      <c r="B152" s="5"/>
      <c r="C152" s="5"/>
      <c r="D152" s="5"/>
      <c r="E152" s="5"/>
      <c r="F152" s="5"/>
      <c r="P152" s="33"/>
      <c r="Q152" s="33"/>
      <c r="R152" s="33"/>
      <c r="S152" s="33"/>
      <c r="T152" s="33"/>
    </row>
    <row r="153" spans="2:20" ht="15.75" customHeight="1">
      <c r="B153" s="5"/>
      <c r="C153" s="5"/>
      <c r="D153" s="5"/>
      <c r="E153" s="5"/>
      <c r="F153" s="5"/>
      <c r="P153" s="33"/>
      <c r="Q153" s="33"/>
      <c r="R153" s="33"/>
      <c r="S153" s="33"/>
      <c r="T153" s="33"/>
    </row>
    <row r="154" spans="2:20" ht="15.75" customHeight="1">
      <c r="B154" s="5"/>
      <c r="C154" s="5"/>
      <c r="D154" s="5"/>
      <c r="E154" s="5"/>
      <c r="F154" s="5"/>
      <c r="P154" s="33"/>
      <c r="Q154" s="33"/>
      <c r="R154" s="33"/>
      <c r="S154" s="33"/>
      <c r="T154" s="33"/>
    </row>
    <row r="155" spans="2:20" ht="15.75" customHeight="1">
      <c r="B155" s="5"/>
      <c r="C155" s="5"/>
      <c r="D155" s="5"/>
      <c r="E155" s="5"/>
      <c r="F155" s="5"/>
      <c r="P155" s="33"/>
      <c r="Q155" s="33"/>
      <c r="R155" s="33"/>
      <c r="S155" s="33"/>
      <c r="T155" s="33"/>
    </row>
    <row r="156" spans="2:20" ht="15.75" customHeight="1">
      <c r="B156" s="5"/>
      <c r="C156" s="5"/>
      <c r="D156" s="5"/>
      <c r="E156" s="5"/>
      <c r="F156" s="5"/>
      <c r="P156" s="33"/>
      <c r="Q156" s="33"/>
      <c r="R156" s="33"/>
      <c r="S156" s="33"/>
      <c r="T156" s="33"/>
    </row>
    <row r="157" spans="2:20" ht="15.75" customHeight="1">
      <c r="B157" s="5"/>
      <c r="C157" s="5"/>
      <c r="D157" s="5"/>
      <c r="E157" s="5"/>
      <c r="F157" s="5"/>
      <c r="P157" s="33"/>
      <c r="Q157" s="33"/>
      <c r="R157" s="33"/>
      <c r="S157" s="33"/>
      <c r="T157" s="33"/>
    </row>
    <row r="158" spans="2:20" ht="15.75" customHeight="1">
      <c r="B158" s="5"/>
      <c r="C158" s="5"/>
      <c r="D158" s="5"/>
      <c r="E158" s="5"/>
      <c r="F158" s="5"/>
      <c r="P158" s="33"/>
      <c r="Q158" s="33"/>
      <c r="R158" s="33"/>
      <c r="S158" s="33"/>
      <c r="T158" s="33"/>
    </row>
    <row r="159" spans="2:20" ht="15.75" customHeight="1">
      <c r="B159" s="5"/>
      <c r="C159" s="5"/>
      <c r="D159" s="5"/>
      <c r="E159" s="5"/>
      <c r="F159" s="5"/>
      <c r="P159" s="33"/>
      <c r="Q159" s="33"/>
      <c r="R159" s="33"/>
      <c r="S159" s="33"/>
      <c r="T159" s="33"/>
    </row>
    <row r="160" spans="2:20" ht="15.75" customHeight="1">
      <c r="B160" s="5"/>
      <c r="C160" s="5"/>
      <c r="D160" s="5"/>
      <c r="E160" s="5"/>
      <c r="F160" s="5"/>
      <c r="P160" s="33"/>
      <c r="Q160" s="33"/>
      <c r="R160" s="33"/>
      <c r="S160" s="33"/>
      <c r="T160" s="33"/>
    </row>
    <row r="161" spans="2:20" ht="15.75" customHeight="1">
      <c r="B161" s="5"/>
      <c r="C161" s="5"/>
      <c r="D161" s="5"/>
      <c r="E161" s="5"/>
      <c r="F161" s="5"/>
      <c r="P161" s="33"/>
      <c r="Q161" s="33"/>
      <c r="R161" s="33"/>
      <c r="S161" s="33"/>
      <c r="T161" s="33"/>
    </row>
    <row r="162" spans="2:20" ht="15.75" customHeight="1">
      <c r="B162" s="5"/>
      <c r="C162" s="5"/>
      <c r="D162" s="5"/>
      <c r="E162" s="5"/>
      <c r="F162" s="5"/>
      <c r="P162" s="33"/>
      <c r="Q162" s="33"/>
      <c r="R162" s="33"/>
      <c r="S162" s="33"/>
      <c r="T162" s="33"/>
    </row>
    <row r="163" spans="2:20" ht="15.75" customHeight="1">
      <c r="B163" s="5"/>
      <c r="C163" s="5"/>
      <c r="D163" s="5"/>
      <c r="E163" s="5"/>
      <c r="F163" s="5"/>
      <c r="P163" s="33"/>
      <c r="Q163" s="33"/>
      <c r="R163" s="33"/>
      <c r="S163" s="33"/>
      <c r="T163" s="33"/>
    </row>
    <row r="164" spans="2:20" ht="15.75" customHeight="1">
      <c r="B164" s="5"/>
      <c r="C164" s="5"/>
      <c r="D164" s="5"/>
      <c r="E164" s="5"/>
      <c r="F164" s="5"/>
      <c r="P164" s="33"/>
      <c r="Q164" s="33"/>
      <c r="R164" s="33"/>
      <c r="S164" s="33"/>
      <c r="T164" s="33"/>
    </row>
    <row r="165" spans="2:20" ht="15.75" customHeight="1">
      <c r="B165" s="5"/>
      <c r="C165" s="5"/>
      <c r="D165" s="5"/>
      <c r="E165" s="5"/>
      <c r="F165" s="5"/>
      <c r="P165" s="33"/>
      <c r="Q165" s="33"/>
      <c r="R165" s="33"/>
      <c r="S165" s="33"/>
      <c r="T165" s="33"/>
    </row>
    <row r="166" spans="2:20" ht="15.75" customHeight="1">
      <c r="B166" s="5"/>
      <c r="C166" s="5"/>
      <c r="D166" s="5"/>
      <c r="E166" s="5"/>
      <c r="F166" s="5"/>
      <c r="P166" s="33"/>
      <c r="Q166" s="33"/>
      <c r="R166" s="33"/>
      <c r="S166" s="33"/>
      <c r="T166" s="33"/>
    </row>
    <row r="167" spans="2:20" ht="15.75" customHeight="1">
      <c r="B167" s="5"/>
      <c r="C167" s="5"/>
      <c r="D167" s="5"/>
      <c r="E167" s="5"/>
      <c r="F167" s="5"/>
      <c r="P167" s="33"/>
      <c r="Q167" s="33"/>
      <c r="R167" s="33"/>
      <c r="S167" s="33"/>
      <c r="T167" s="33"/>
    </row>
    <row r="168" spans="2:20" ht="15.75" customHeight="1">
      <c r="B168" s="5"/>
      <c r="C168" s="5"/>
      <c r="D168" s="5"/>
      <c r="E168" s="5"/>
      <c r="F168" s="5"/>
      <c r="P168" s="33"/>
      <c r="Q168" s="33"/>
      <c r="R168" s="33"/>
      <c r="S168" s="33"/>
      <c r="T168" s="33"/>
    </row>
    <row r="169" spans="2:20" ht="15.75" customHeight="1">
      <c r="B169" s="5"/>
      <c r="C169" s="5"/>
      <c r="D169" s="5"/>
      <c r="E169" s="5"/>
      <c r="F169" s="5"/>
      <c r="P169" s="33"/>
      <c r="Q169" s="33"/>
      <c r="R169" s="33"/>
      <c r="S169" s="33"/>
      <c r="T169" s="33"/>
    </row>
    <row r="170" spans="2:20" ht="15.75" customHeight="1">
      <c r="B170" s="5"/>
      <c r="C170" s="5"/>
      <c r="D170" s="5"/>
      <c r="E170" s="5"/>
      <c r="F170" s="5"/>
      <c r="P170" s="33"/>
      <c r="Q170" s="33"/>
      <c r="R170" s="33"/>
      <c r="S170" s="33"/>
      <c r="T170" s="33"/>
    </row>
    <row r="171" spans="2:20" ht="15.75" customHeight="1">
      <c r="B171" s="5"/>
      <c r="C171" s="5"/>
      <c r="D171" s="5"/>
      <c r="E171" s="5"/>
      <c r="F171" s="5"/>
      <c r="P171" s="33"/>
      <c r="Q171" s="33"/>
      <c r="R171" s="33"/>
      <c r="S171" s="33"/>
      <c r="T171" s="33"/>
    </row>
    <row r="172" spans="2:20" ht="15.75" customHeight="1">
      <c r="B172" s="5"/>
      <c r="C172" s="5"/>
      <c r="D172" s="5"/>
      <c r="E172" s="5"/>
      <c r="F172" s="5"/>
      <c r="P172" s="33"/>
      <c r="Q172" s="33"/>
      <c r="R172" s="33"/>
      <c r="S172" s="33"/>
      <c r="T172" s="33"/>
    </row>
    <row r="173" spans="2:20" ht="15.75" customHeight="1">
      <c r="B173" s="5"/>
      <c r="C173" s="5"/>
      <c r="D173" s="5"/>
      <c r="E173" s="5"/>
      <c r="F173" s="5"/>
      <c r="P173" s="33"/>
      <c r="Q173" s="33"/>
      <c r="R173" s="33"/>
      <c r="S173" s="33"/>
      <c r="T173" s="33"/>
    </row>
    <row r="174" spans="2:20" ht="15.75" customHeight="1">
      <c r="B174" s="5"/>
      <c r="C174" s="5"/>
      <c r="D174" s="5"/>
      <c r="E174" s="5"/>
      <c r="F174" s="5"/>
      <c r="P174" s="33"/>
      <c r="Q174" s="33"/>
      <c r="R174" s="33"/>
      <c r="S174" s="33"/>
      <c r="T174" s="33"/>
    </row>
    <row r="175" spans="2:20" ht="15.75" customHeight="1">
      <c r="B175" s="5"/>
      <c r="C175" s="5"/>
      <c r="D175" s="5"/>
      <c r="E175" s="5"/>
      <c r="F175" s="5"/>
      <c r="P175" s="33"/>
      <c r="Q175" s="33"/>
      <c r="R175" s="33"/>
      <c r="S175" s="33"/>
      <c r="T175" s="33"/>
    </row>
    <row r="176" spans="2:20" ht="15.75" customHeight="1">
      <c r="B176" s="5"/>
      <c r="C176" s="5"/>
      <c r="D176" s="5"/>
      <c r="E176" s="5"/>
      <c r="F176" s="5"/>
      <c r="P176" s="33"/>
      <c r="Q176" s="33"/>
      <c r="R176" s="33"/>
      <c r="S176" s="33"/>
      <c r="T176" s="33"/>
    </row>
    <row r="177" spans="2:20" ht="15.75" customHeight="1">
      <c r="B177" s="5"/>
      <c r="C177" s="5"/>
      <c r="D177" s="5"/>
      <c r="E177" s="5"/>
      <c r="F177" s="5"/>
      <c r="P177" s="33"/>
      <c r="Q177" s="33"/>
      <c r="R177" s="33"/>
      <c r="S177" s="33"/>
      <c r="T177" s="33"/>
    </row>
    <row r="178" spans="2:20" ht="15.75" customHeight="1">
      <c r="B178" s="5"/>
      <c r="C178" s="5"/>
      <c r="D178" s="5"/>
      <c r="E178" s="5"/>
      <c r="F178" s="5"/>
      <c r="P178" s="33"/>
      <c r="Q178" s="33"/>
      <c r="R178" s="33"/>
      <c r="S178" s="33"/>
      <c r="T178" s="33"/>
    </row>
    <row r="179" spans="2:20" ht="15.75" customHeight="1">
      <c r="B179" s="5"/>
      <c r="C179" s="5"/>
      <c r="D179" s="5"/>
      <c r="E179" s="5"/>
      <c r="F179" s="5"/>
      <c r="P179" s="33"/>
      <c r="Q179" s="33"/>
      <c r="R179" s="33"/>
      <c r="S179" s="33"/>
      <c r="T179" s="33"/>
    </row>
    <row r="180" spans="2:20" ht="15.75" customHeight="1">
      <c r="B180" s="5"/>
      <c r="C180" s="5"/>
      <c r="D180" s="5"/>
      <c r="E180" s="5"/>
      <c r="F180" s="5"/>
      <c r="P180" s="33"/>
      <c r="Q180" s="33"/>
      <c r="R180" s="33"/>
      <c r="S180" s="33"/>
      <c r="T180" s="33"/>
    </row>
    <row r="181" spans="2:20" ht="15.75" customHeight="1">
      <c r="B181" s="5"/>
      <c r="C181" s="5"/>
      <c r="D181" s="5"/>
      <c r="E181" s="5"/>
      <c r="F181" s="5"/>
      <c r="P181" s="33"/>
      <c r="Q181" s="33"/>
      <c r="R181" s="33"/>
      <c r="S181" s="33"/>
      <c r="T181" s="33"/>
    </row>
    <row r="182" spans="2:20" ht="15.75" customHeight="1">
      <c r="B182" s="5"/>
      <c r="C182" s="5"/>
      <c r="D182" s="5"/>
      <c r="E182" s="5"/>
      <c r="F182" s="5"/>
      <c r="P182" s="33"/>
      <c r="Q182" s="33"/>
      <c r="R182" s="33"/>
      <c r="S182" s="33"/>
      <c r="T182" s="33"/>
    </row>
    <row r="183" spans="2:20" ht="15.75" customHeight="1">
      <c r="B183" s="5"/>
      <c r="C183" s="5"/>
      <c r="D183" s="5"/>
      <c r="E183" s="5"/>
      <c r="F183" s="5"/>
      <c r="P183" s="33"/>
      <c r="Q183" s="33"/>
      <c r="R183" s="33"/>
      <c r="S183" s="33"/>
      <c r="T183" s="33"/>
    </row>
    <row r="184" spans="2:20" ht="15.75" customHeight="1">
      <c r="B184" s="5"/>
      <c r="C184" s="5"/>
      <c r="D184" s="5"/>
      <c r="E184" s="5"/>
      <c r="F184" s="5"/>
      <c r="P184" s="33"/>
      <c r="Q184" s="33"/>
      <c r="R184" s="33"/>
      <c r="S184" s="33"/>
      <c r="T184" s="33"/>
    </row>
    <row r="185" spans="2:20" ht="15.75" customHeight="1">
      <c r="B185" s="5"/>
      <c r="C185" s="5"/>
      <c r="D185" s="5"/>
      <c r="E185" s="5"/>
      <c r="F185" s="5"/>
      <c r="P185" s="33"/>
      <c r="Q185" s="33"/>
      <c r="R185" s="33"/>
      <c r="S185" s="33"/>
      <c r="T185" s="33"/>
    </row>
    <row r="186" spans="2:20" ht="15.75" customHeight="1">
      <c r="B186" s="5"/>
      <c r="C186" s="5"/>
      <c r="D186" s="5"/>
      <c r="E186" s="5"/>
      <c r="F186" s="5"/>
      <c r="P186" s="33"/>
      <c r="Q186" s="33"/>
      <c r="R186" s="33"/>
      <c r="S186" s="33"/>
      <c r="T186" s="33"/>
    </row>
    <row r="187" spans="2:20" ht="15.75" customHeight="1">
      <c r="B187" s="5"/>
      <c r="C187" s="5"/>
      <c r="D187" s="5"/>
      <c r="E187" s="5"/>
      <c r="F187" s="5"/>
      <c r="P187" s="33"/>
      <c r="Q187" s="33"/>
      <c r="R187" s="33"/>
      <c r="S187" s="33"/>
      <c r="T187" s="33"/>
    </row>
    <row r="188" spans="2:20" ht="15.75" customHeight="1">
      <c r="B188" s="5"/>
      <c r="C188" s="5"/>
      <c r="D188" s="5"/>
      <c r="E188" s="5"/>
      <c r="F188" s="5"/>
      <c r="P188" s="33"/>
      <c r="Q188" s="33"/>
      <c r="R188" s="33"/>
      <c r="S188" s="33"/>
      <c r="T188" s="33"/>
    </row>
    <row r="189" spans="2:20" ht="15.75" customHeight="1">
      <c r="B189" s="5"/>
      <c r="C189" s="5"/>
      <c r="D189" s="5"/>
      <c r="E189" s="5"/>
      <c r="F189" s="5"/>
      <c r="P189" s="33"/>
      <c r="Q189" s="33"/>
      <c r="R189" s="33"/>
      <c r="S189" s="33"/>
      <c r="T189" s="33"/>
    </row>
    <row r="190" spans="2:20" ht="15.75" customHeight="1">
      <c r="B190" s="5"/>
      <c r="C190" s="5"/>
      <c r="D190" s="5"/>
      <c r="E190" s="5"/>
      <c r="F190" s="5"/>
      <c r="P190" s="33"/>
      <c r="Q190" s="33"/>
      <c r="R190" s="33"/>
      <c r="S190" s="33"/>
      <c r="T190" s="33"/>
    </row>
    <row r="191" spans="2:20" ht="15.75" customHeight="1">
      <c r="B191" s="5"/>
      <c r="C191" s="5"/>
      <c r="D191" s="5"/>
      <c r="E191" s="5"/>
      <c r="F191" s="5"/>
      <c r="P191" s="33"/>
      <c r="Q191" s="33"/>
      <c r="R191" s="33"/>
      <c r="S191" s="33"/>
      <c r="T191" s="33"/>
    </row>
    <row r="192" spans="2:20" ht="15.75" customHeight="1">
      <c r="B192" s="5"/>
      <c r="C192" s="5"/>
      <c r="D192" s="5"/>
      <c r="E192" s="5"/>
      <c r="F192" s="5"/>
      <c r="P192" s="33"/>
      <c r="Q192" s="33"/>
      <c r="R192" s="33"/>
      <c r="S192" s="33"/>
      <c r="T192" s="33"/>
    </row>
    <row r="193" spans="2:20" ht="15.75" customHeight="1">
      <c r="B193" s="5"/>
      <c r="C193" s="5"/>
      <c r="D193" s="5"/>
      <c r="E193" s="5"/>
      <c r="F193" s="5"/>
      <c r="P193" s="33"/>
      <c r="Q193" s="33"/>
      <c r="R193" s="33"/>
      <c r="S193" s="33"/>
      <c r="T193" s="33"/>
    </row>
    <row r="194" spans="2:20" ht="15.75" customHeight="1">
      <c r="B194" s="5"/>
      <c r="C194" s="5"/>
      <c r="D194" s="5"/>
      <c r="E194" s="5"/>
      <c r="F194" s="5"/>
      <c r="P194" s="33"/>
      <c r="Q194" s="33"/>
      <c r="R194" s="33"/>
      <c r="S194" s="33"/>
      <c r="T194" s="33"/>
    </row>
    <row r="195" spans="2:20" ht="15.75" customHeight="1">
      <c r="B195" s="5"/>
      <c r="C195" s="5"/>
      <c r="D195" s="5"/>
      <c r="E195" s="5"/>
      <c r="F195" s="5"/>
      <c r="P195" s="33"/>
      <c r="Q195" s="33"/>
      <c r="R195" s="33"/>
      <c r="S195" s="33"/>
      <c r="T195" s="33"/>
    </row>
    <row r="196" spans="2:20" ht="15.75" customHeight="1">
      <c r="B196" s="5"/>
      <c r="C196" s="5"/>
      <c r="D196" s="5"/>
      <c r="E196" s="5"/>
      <c r="F196" s="5"/>
      <c r="P196" s="33"/>
      <c r="Q196" s="33"/>
      <c r="R196" s="33"/>
      <c r="S196" s="33"/>
      <c r="T196" s="33"/>
    </row>
    <row r="197" spans="2:20" ht="15.75" customHeight="1">
      <c r="B197" s="5"/>
      <c r="C197" s="5"/>
      <c r="D197" s="5"/>
      <c r="E197" s="5"/>
      <c r="F197" s="5"/>
      <c r="P197" s="33"/>
      <c r="Q197" s="33"/>
      <c r="R197" s="33"/>
      <c r="S197" s="33"/>
      <c r="T197" s="33"/>
    </row>
    <row r="198" spans="2:20" ht="15.75" customHeight="1">
      <c r="B198" s="5"/>
      <c r="C198" s="5"/>
      <c r="D198" s="5"/>
      <c r="E198" s="5"/>
      <c r="F198" s="5"/>
      <c r="P198" s="33"/>
      <c r="Q198" s="33"/>
      <c r="R198" s="33"/>
      <c r="S198" s="33"/>
      <c r="T198" s="33"/>
    </row>
    <row r="199" spans="2:20" ht="15.75" customHeight="1">
      <c r="B199" s="5"/>
      <c r="C199" s="5"/>
      <c r="D199" s="5"/>
      <c r="E199" s="5"/>
      <c r="F199" s="5"/>
      <c r="P199" s="33"/>
      <c r="Q199" s="33"/>
      <c r="R199" s="33"/>
      <c r="S199" s="33"/>
      <c r="T199" s="33"/>
    </row>
    <row r="200" spans="2:20" ht="15.75" customHeight="1">
      <c r="B200" s="5"/>
      <c r="C200" s="5"/>
      <c r="D200" s="5"/>
      <c r="E200" s="5"/>
      <c r="F200" s="5"/>
      <c r="P200" s="33"/>
      <c r="Q200" s="33"/>
      <c r="R200" s="33"/>
      <c r="S200" s="33"/>
      <c r="T200" s="33"/>
    </row>
    <row r="201" spans="2:20" ht="15.75" customHeight="1">
      <c r="B201" s="5"/>
      <c r="C201" s="5"/>
      <c r="D201" s="5"/>
      <c r="E201" s="5"/>
      <c r="F201" s="5"/>
      <c r="P201" s="33"/>
      <c r="Q201" s="33"/>
      <c r="R201" s="33"/>
      <c r="S201" s="33"/>
      <c r="T201" s="33"/>
    </row>
    <row r="202" spans="2:20" ht="15.75" customHeight="1">
      <c r="B202" s="5"/>
      <c r="C202" s="5"/>
      <c r="D202" s="5"/>
      <c r="E202" s="5"/>
      <c r="F202" s="5"/>
      <c r="P202" s="33"/>
      <c r="Q202" s="33"/>
      <c r="R202" s="33"/>
      <c r="S202" s="33"/>
      <c r="T202" s="33"/>
    </row>
    <row r="203" spans="2:20" ht="15.75" customHeight="1">
      <c r="B203" s="5"/>
      <c r="C203" s="5"/>
      <c r="D203" s="5"/>
      <c r="E203" s="5"/>
      <c r="F203" s="5"/>
      <c r="P203" s="33"/>
      <c r="Q203" s="33"/>
      <c r="R203" s="33"/>
      <c r="S203" s="33"/>
      <c r="T203" s="33"/>
    </row>
    <row r="204" spans="2:20" ht="15.75" customHeight="1">
      <c r="B204" s="5"/>
      <c r="C204" s="5"/>
      <c r="D204" s="5"/>
      <c r="E204" s="5"/>
      <c r="F204" s="5"/>
      <c r="P204" s="33"/>
      <c r="Q204" s="33"/>
      <c r="R204" s="33"/>
      <c r="S204" s="33"/>
      <c r="T204" s="33"/>
    </row>
    <row r="205" spans="2:20" ht="15.75" customHeight="1">
      <c r="B205" s="5"/>
      <c r="C205" s="5"/>
      <c r="D205" s="5"/>
      <c r="E205" s="5"/>
      <c r="F205" s="5"/>
      <c r="P205" s="33"/>
      <c r="Q205" s="33"/>
      <c r="R205" s="33"/>
      <c r="S205" s="33"/>
      <c r="T205" s="33"/>
    </row>
    <row r="206" spans="2:20" ht="15.75" customHeight="1">
      <c r="B206" s="5"/>
      <c r="C206" s="5"/>
      <c r="D206" s="5"/>
      <c r="E206" s="5"/>
      <c r="F206" s="5"/>
      <c r="P206" s="33"/>
      <c r="Q206" s="33"/>
      <c r="R206" s="33"/>
      <c r="S206" s="33"/>
      <c r="T206" s="33"/>
    </row>
    <row r="207" spans="2:20" ht="15.75" customHeight="1">
      <c r="B207" s="5"/>
      <c r="C207" s="5"/>
      <c r="D207" s="5"/>
      <c r="E207" s="5"/>
      <c r="F207" s="5"/>
      <c r="P207" s="33"/>
      <c r="Q207" s="33"/>
      <c r="R207" s="33"/>
      <c r="S207" s="33"/>
      <c r="T207" s="33"/>
    </row>
    <row r="208" spans="2:20" ht="15.75" customHeight="1">
      <c r="B208" s="5"/>
      <c r="C208" s="5"/>
      <c r="D208" s="5"/>
      <c r="E208" s="5"/>
      <c r="F208" s="5"/>
      <c r="P208" s="33"/>
      <c r="Q208" s="33"/>
      <c r="R208" s="33"/>
      <c r="S208" s="33"/>
      <c r="T208" s="33"/>
    </row>
    <row r="209" spans="2:20" ht="15.75" customHeight="1">
      <c r="B209" s="5"/>
      <c r="C209" s="5"/>
      <c r="D209" s="5"/>
      <c r="E209" s="5"/>
      <c r="F209" s="5"/>
      <c r="P209" s="33"/>
      <c r="Q209" s="33"/>
      <c r="R209" s="33"/>
      <c r="S209" s="33"/>
      <c r="T209" s="33"/>
    </row>
    <row r="210" spans="2:20" ht="15.75" customHeight="1">
      <c r="B210" s="5"/>
      <c r="C210" s="5"/>
      <c r="D210" s="5"/>
      <c r="E210" s="5"/>
      <c r="F210" s="5"/>
      <c r="P210" s="33"/>
      <c r="Q210" s="33"/>
      <c r="R210" s="33"/>
      <c r="S210" s="33"/>
      <c r="T210" s="33"/>
    </row>
    <row r="211" spans="2:20" ht="15.75" customHeight="1">
      <c r="B211" s="5"/>
      <c r="C211" s="5"/>
      <c r="D211" s="5"/>
      <c r="E211" s="5"/>
      <c r="F211" s="5"/>
      <c r="P211" s="33"/>
      <c r="Q211" s="33"/>
      <c r="R211" s="33"/>
      <c r="S211" s="33"/>
      <c r="T211" s="33"/>
    </row>
    <row r="212" spans="2:20" ht="15.75" customHeight="1">
      <c r="B212" s="5"/>
      <c r="C212" s="5"/>
      <c r="D212" s="5"/>
      <c r="E212" s="5"/>
      <c r="F212" s="5"/>
      <c r="P212" s="33"/>
      <c r="Q212" s="33"/>
      <c r="R212" s="33"/>
      <c r="S212" s="33"/>
      <c r="T212" s="33"/>
    </row>
    <row r="213" spans="2:20" ht="15.75" customHeight="1">
      <c r="B213" s="5"/>
      <c r="C213" s="5"/>
      <c r="D213" s="5"/>
      <c r="E213" s="5"/>
      <c r="F213" s="5"/>
      <c r="P213" s="33"/>
      <c r="Q213" s="33"/>
      <c r="R213" s="33"/>
      <c r="S213" s="33"/>
      <c r="T213" s="33"/>
    </row>
    <row r="214" spans="2:20" ht="15.75" customHeight="1">
      <c r="B214" s="5"/>
      <c r="C214" s="5"/>
      <c r="D214" s="5"/>
      <c r="E214" s="5"/>
      <c r="F214" s="5"/>
      <c r="P214" s="33"/>
      <c r="Q214" s="33"/>
      <c r="R214" s="33"/>
      <c r="S214" s="33"/>
      <c r="T214" s="33"/>
    </row>
    <row r="215" spans="2:20" ht="15.75" customHeight="1">
      <c r="B215" s="5"/>
      <c r="C215" s="5"/>
      <c r="D215" s="5"/>
      <c r="E215" s="5"/>
      <c r="F215" s="5"/>
      <c r="P215" s="33"/>
      <c r="Q215" s="33"/>
      <c r="R215" s="33"/>
      <c r="S215" s="33"/>
      <c r="T215" s="33"/>
    </row>
    <row r="216" spans="2:20" ht="15.75" customHeight="1">
      <c r="B216" s="5"/>
      <c r="C216" s="5"/>
      <c r="D216" s="5"/>
      <c r="E216" s="5"/>
      <c r="F216" s="5"/>
      <c r="P216" s="33"/>
      <c r="Q216" s="33"/>
      <c r="R216" s="33"/>
      <c r="S216" s="33"/>
      <c r="T216" s="33"/>
    </row>
    <row r="217" spans="2:20" ht="15.75" customHeight="1">
      <c r="B217" s="5"/>
      <c r="C217" s="5"/>
      <c r="D217" s="5"/>
      <c r="E217" s="5"/>
      <c r="F217" s="5"/>
      <c r="P217" s="33"/>
      <c r="Q217" s="33"/>
      <c r="R217" s="33"/>
      <c r="S217" s="33"/>
      <c r="T217" s="33"/>
    </row>
    <row r="218" spans="2:20" ht="15.75" customHeight="1">
      <c r="B218" s="5"/>
      <c r="C218" s="5"/>
      <c r="D218" s="5"/>
      <c r="E218" s="5"/>
      <c r="F218" s="5"/>
      <c r="P218" s="33"/>
      <c r="Q218" s="33"/>
      <c r="R218" s="33"/>
      <c r="S218" s="33"/>
      <c r="T218" s="33"/>
    </row>
    <row r="219" spans="2:20" ht="15.75" customHeight="1">
      <c r="B219" s="5"/>
      <c r="C219" s="5"/>
      <c r="D219" s="5"/>
      <c r="E219" s="5"/>
      <c r="F219" s="5"/>
      <c r="P219" s="33"/>
      <c r="Q219" s="33"/>
      <c r="R219" s="33"/>
      <c r="S219" s="33"/>
      <c r="T219" s="33"/>
    </row>
    <row r="220" spans="2:20" ht="15.75" customHeight="1">
      <c r="B220" s="5"/>
      <c r="C220" s="5"/>
      <c r="D220" s="5"/>
      <c r="E220" s="5"/>
      <c r="F220" s="5"/>
      <c r="P220" s="33"/>
      <c r="Q220" s="33"/>
      <c r="R220" s="33"/>
      <c r="S220" s="33"/>
      <c r="T220" s="33"/>
    </row>
    <row r="221" spans="2:20" ht="15.75" customHeight="1">
      <c r="B221" s="5"/>
      <c r="C221" s="5"/>
      <c r="D221" s="5"/>
      <c r="E221" s="5"/>
      <c r="F221" s="5"/>
      <c r="P221" s="33"/>
      <c r="Q221" s="33"/>
      <c r="R221" s="33"/>
      <c r="S221" s="33"/>
      <c r="T221" s="33"/>
    </row>
    <row r="222" spans="2:20" ht="15.75" customHeight="1">
      <c r="B222" s="5"/>
      <c r="C222" s="5"/>
      <c r="D222" s="5"/>
      <c r="E222" s="5"/>
      <c r="F222" s="5"/>
      <c r="P222" s="33"/>
      <c r="Q222" s="33"/>
      <c r="R222" s="33"/>
      <c r="S222" s="33"/>
      <c r="T222" s="33"/>
    </row>
    <row r="223" spans="2:20" ht="15.75" customHeight="1">
      <c r="B223" s="5"/>
      <c r="C223" s="5"/>
      <c r="D223" s="5"/>
      <c r="E223" s="5"/>
      <c r="F223" s="5"/>
      <c r="P223" s="33"/>
      <c r="Q223" s="33"/>
      <c r="R223" s="33"/>
      <c r="S223" s="33"/>
      <c r="T223" s="33"/>
    </row>
    <row r="224" spans="2:20" ht="15.75" customHeight="1">
      <c r="B224" s="5"/>
      <c r="C224" s="5"/>
      <c r="D224" s="5"/>
      <c r="E224" s="5"/>
      <c r="F224" s="5"/>
      <c r="P224" s="33"/>
      <c r="Q224" s="33"/>
      <c r="R224" s="33"/>
      <c r="S224" s="33"/>
      <c r="T224" s="33"/>
    </row>
    <row r="225" spans="2:20" ht="15.75" customHeight="1">
      <c r="B225" s="5"/>
      <c r="C225" s="5"/>
      <c r="D225" s="5"/>
      <c r="E225" s="5"/>
      <c r="F225" s="5"/>
      <c r="P225" s="33"/>
      <c r="Q225" s="33"/>
      <c r="R225" s="33"/>
      <c r="S225" s="33"/>
      <c r="T225" s="33"/>
    </row>
    <row r="226" spans="2:20" ht="15.75" customHeight="1">
      <c r="B226" s="5"/>
      <c r="C226" s="5"/>
      <c r="D226" s="5"/>
      <c r="E226" s="5"/>
      <c r="F226" s="5"/>
      <c r="P226" s="33"/>
      <c r="Q226" s="33"/>
      <c r="R226" s="33"/>
      <c r="S226" s="33"/>
      <c r="T226" s="33"/>
    </row>
    <row r="227" spans="2:20" ht="15.75" customHeight="1">
      <c r="B227" s="5"/>
      <c r="C227" s="5"/>
      <c r="D227" s="5"/>
      <c r="E227" s="5"/>
      <c r="F227" s="5"/>
      <c r="P227" s="33"/>
      <c r="Q227" s="33"/>
      <c r="R227" s="33"/>
      <c r="S227" s="33"/>
      <c r="T227" s="33"/>
    </row>
    <row r="228" spans="2:20" ht="15.75" customHeight="1">
      <c r="B228" s="5"/>
      <c r="C228" s="5"/>
      <c r="D228" s="5"/>
      <c r="E228" s="5"/>
      <c r="F228" s="5"/>
      <c r="P228" s="33"/>
      <c r="Q228" s="33"/>
      <c r="R228" s="33"/>
      <c r="S228" s="33"/>
      <c r="T228" s="33"/>
    </row>
    <row r="229" spans="2:20" ht="15.75" customHeight="1">
      <c r="B229" s="5"/>
      <c r="C229" s="5"/>
      <c r="D229" s="5"/>
      <c r="E229" s="5"/>
      <c r="F229" s="5"/>
      <c r="P229" s="33"/>
      <c r="Q229" s="33"/>
      <c r="R229" s="33"/>
      <c r="S229" s="33"/>
      <c r="T229" s="33"/>
    </row>
    <row r="230" spans="2:20" ht="15.75" customHeight="1">
      <c r="B230" s="5"/>
      <c r="C230" s="5"/>
      <c r="D230" s="5"/>
      <c r="E230" s="5"/>
      <c r="F230" s="5"/>
      <c r="P230" s="33"/>
      <c r="Q230" s="33"/>
      <c r="R230" s="33"/>
      <c r="S230" s="33"/>
      <c r="T230" s="33"/>
    </row>
    <row r="231" spans="2:20" ht="15.75" customHeight="1">
      <c r="B231" s="5"/>
      <c r="C231" s="5"/>
      <c r="D231" s="5"/>
      <c r="E231" s="5"/>
      <c r="F231" s="5"/>
      <c r="P231" s="33"/>
      <c r="Q231" s="33"/>
      <c r="R231" s="33"/>
      <c r="S231" s="33"/>
      <c r="T231" s="33"/>
    </row>
    <row r="232" spans="2:20" ht="15.75" customHeight="1">
      <c r="B232" s="5"/>
      <c r="C232" s="5"/>
      <c r="D232" s="5"/>
      <c r="E232" s="5"/>
      <c r="F232" s="5"/>
      <c r="P232" s="33"/>
      <c r="Q232" s="33"/>
      <c r="R232" s="33"/>
      <c r="S232" s="33"/>
      <c r="T232" s="33"/>
    </row>
    <row r="233" spans="2:20" ht="15.75" customHeight="1">
      <c r="B233" s="5"/>
      <c r="C233" s="5"/>
      <c r="D233" s="5"/>
      <c r="E233" s="5"/>
      <c r="F233" s="5"/>
      <c r="P233" s="33"/>
      <c r="Q233" s="33"/>
      <c r="R233" s="33"/>
      <c r="S233" s="33"/>
      <c r="T233" s="33"/>
    </row>
    <row r="234" spans="2:20" ht="15.75" customHeight="1">
      <c r="B234" s="5"/>
      <c r="C234" s="5"/>
      <c r="D234" s="5"/>
      <c r="E234" s="5"/>
      <c r="F234" s="5"/>
      <c r="P234" s="33"/>
      <c r="Q234" s="33"/>
      <c r="R234" s="33"/>
      <c r="S234" s="33"/>
      <c r="T234" s="33"/>
    </row>
    <row r="235" spans="2:20" ht="15.75" customHeight="1">
      <c r="B235" s="5"/>
      <c r="C235" s="5"/>
      <c r="D235" s="5"/>
      <c r="E235" s="5"/>
      <c r="F235" s="5"/>
      <c r="P235" s="33"/>
      <c r="Q235" s="33"/>
      <c r="R235" s="33"/>
      <c r="S235" s="33"/>
      <c r="T235" s="33"/>
    </row>
    <row r="236" spans="2:20" ht="15.75" customHeight="1">
      <c r="B236" s="5"/>
      <c r="C236" s="5"/>
      <c r="D236" s="5"/>
      <c r="E236" s="5"/>
      <c r="F236" s="5"/>
      <c r="P236" s="33"/>
      <c r="Q236" s="33"/>
      <c r="R236" s="33"/>
      <c r="S236" s="33"/>
      <c r="T236" s="33"/>
    </row>
    <row r="237" spans="2:20" ht="15.75" customHeight="1">
      <c r="B237" s="5"/>
      <c r="C237" s="5"/>
      <c r="D237" s="5"/>
      <c r="E237" s="5"/>
      <c r="F237" s="5"/>
      <c r="P237" s="33"/>
      <c r="Q237" s="33"/>
      <c r="R237" s="33"/>
      <c r="S237" s="33"/>
      <c r="T237" s="33"/>
    </row>
    <row r="238" spans="2:20" ht="15.75" customHeight="1">
      <c r="B238" s="5"/>
      <c r="C238" s="5"/>
      <c r="D238" s="5"/>
      <c r="E238" s="5"/>
      <c r="F238" s="5"/>
      <c r="P238" s="33"/>
      <c r="Q238" s="33"/>
      <c r="R238" s="33"/>
      <c r="S238" s="33"/>
      <c r="T238" s="33"/>
    </row>
    <row r="239" spans="2:20" ht="15.75" customHeight="1">
      <c r="B239" s="5"/>
      <c r="C239" s="5"/>
      <c r="D239" s="5"/>
      <c r="E239" s="5"/>
      <c r="F239" s="5"/>
      <c r="P239" s="33"/>
      <c r="Q239" s="33"/>
      <c r="R239" s="33"/>
      <c r="S239" s="33"/>
      <c r="T239" s="33"/>
    </row>
    <row r="240" spans="2:20" ht="15.75" customHeight="1">
      <c r="B240" s="5"/>
      <c r="C240" s="5"/>
      <c r="D240" s="5"/>
      <c r="E240" s="5"/>
      <c r="F240" s="5"/>
      <c r="P240" s="33"/>
      <c r="Q240" s="33"/>
      <c r="R240" s="33"/>
      <c r="S240" s="33"/>
      <c r="T240" s="33"/>
    </row>
    <row r="241" spans="2:20" ht="15.75" customHeight="1">
      <c r="B241" s="5"/>
      <c r="C241" s="5"/>
      <c r="D241" s="5"/>
      <c r="E241" s="5"/>
      <c r="F241" s="5"/>
      <c r="P241" s="33"/>
      <c r="Q241" s="33"/>
      <c r="R241" s="33"/>
      <c r="S241" s="33"/>
      <c r="T241" s="33"/>
    </row>
    <row r="242" spans="2:20" ht="15.75" customHeight="1">
      <c r="B242" s="5"/>
      <c r="C242" s="5"/>
      <c r="D242" s="5"/>
      <c r="E242" s="5"/>
      <c r="F242" s="5"/>
      <c r="P242" s="33"/>
      <c r="Q242" s="33"/>
      <c r="R242" s="33"/>
      <c r="S242" s="33"/>
      <c r="T242" s="33"/>
    </row>
    <row r="243" spans="2:20" ht="15.75" customHeight="1">
      <c r="B243" s="5"/>
      <c r="C243" s="5"/>
      <c r="D243" s="5"/>
      <c r="E243" s="5"/>
      <c r="F243" s="5"/>
      <c r="P243" s="33"/>
      <c r="Q243" s="33"/>
      <c r="R243" s="33"/>
      <c r="S243" s="33"/>
      <c r="T243" s="33"/>
    </row>
    <row r="244" spans="2:20" ht="15.75" customHeight="1">
      <c r="B244" s="5"/>
      <c r="C244" s="5"/>
      <c r="D244" s="5"/>
      <c r="E244" s="5"/>
      <c r="F244" s="5"/>
      <c r="P244" s="33"/>
      <c r="Q244" s="33"/>
      <c r="R244" s="33"/>
      <c r="S244" s="33"/>
      <c r="T244" s="33"/>
    </row>
    <row r="245" spans="2:20" ht="15.75" customHeight="1">
      <c r="B245" s="5"/>
      <c r="C245" s="5"/>
      <c r="D245" s="5"/>
      <c r="E245" s="5"/>
      <c r="F245" s="5"/>
      <c r="P245" s="33"/>
      <c r="Q245" s="33"/>
      <c r="R245" s="33"/>
      <c r="S245" s="33"/>
      <c r="T245" s="33"/>
    </row>
    <row r="246" spans="2:20" ht="15.75" customHeight="1">
      <c r="B246" s="5"/>
      <c r="C246" s="5"/>
      <c r="D246" s="5"/>
      <c r="E246" s="5"/>
      <c r="F246" s="5"/>
      <c r="P246" s="33"/>
      <c r="Q246" s="33"/>
      <c r="R246" s="33"/>
      <c r="S246" s="33"/>
      <c r="T246" s="33"/>
    </row>
    <row r="247" spans="2:20" ht="15.75" customHeight="1">
      <c r="B247" s="5"/>
      <c r="C247" s="5"/>
      <c r="D247" s="5"/>
      <c r="E247" s="5"/>
      <c r="F247" s="5"/>
      <c r="P247" s="33"/>
      <c r="Q247" s="33"/>
      <c r="R247" s="33"/>
      <c r="S247" s="33"/>
      <c r="T247" s="33"/>
    </row>
    <row r="248" spans="2:20" ht="15.75" customHeight="1">
      <c r="B248" s="5"/>
      <c r="C248" s="5"/>
      <c r="D248" s="5"/>
      <c r="E248" s="5"/>
      <c r="F248" s="5"/>
      <c r="P248" s="33"/>
      <c r="Q248" s="33"/>
      <c r="R248" s="33"/>
      <c r="S248" s="33"/>
      <c r="T248" s="33"/>
    </row>
    <row r="249" spans="2:20" ht="15.75" customHeight="1">
      <c r="B249" s="5"/>
      <c r="C249" s="5"/>
      <c r="D249" s="5"/>
      <c r="E249" s="5"/>
      <c r="F249" s="5"/>
      <c r="P249" s="33"/>
      <c r="Q249" s="33"/>
      <c r="R249" s="33"/>
      <c r="S249" s="33"/>
      <c r="T249" s="33"/>
    </row>
    <row r="250" spans="2:20" ht="15.75" customHeight="1">
      <c r="B250" s="5"/>
      <c r="C250" s="5"/>
      <c r="D250" s="5"/>
      <c r="E250" s="5"/>
      <c r="F250" s="5"/>
      <c r="P250" s="33"/>
      <c r="Q250" s="33"/>
      <c r="R250" s="33"/>
      <c r="S250" s="33"/>
      <c r="T250" s="33"/>
    </row>
    <row r="251" spans="2:20" ht="15.75" customHeight="1">
      <c r="B251" s="5"/>
      <c r="C251" s="5"/>
      <c r="D251" s="5"/>
      <c r="E251" s="5"/>
      <c r="F251" s="5"/>
      <c r="P251" s="33"/>
      <c r="Q251" s="33"/>
      <c r="R251" s="33"/>
      <c r="S251" s="33"/>
      <c r="T251" s="33"/>
    </row>
    <row r="252" spans="2:20" ht="15.75" customHeight="1">
      <c r="B252" s="5"/>
      <c r="C252" s="5"/>
      <c r="D252" s="5"/>
      <c r="E252" s="5"/>
      <c r="F252" s="5"/>
      <c r="P252" s="33"/>
      <c r="Q252" s="33"/>
      <c r="R252" s="33"/>
      <c r="S252" s="33"/>
      <c r="T252" s="33"/>
    </row>
    <row r="253" spans="2:20" ht="15.75" customHeight="1">
      <c r="B253" s="5"/>
      <c r="C253" s="5"/>
      <c r="D253" s="5"/>
      <c r="E253" s="5"/>
      <c r="F253" s="5"/>
      <c r="P253" s="33"/>
      <c r="Q253" s="33"/>
      <c r="R253" s="33"/>
      <c r="S253" s="33"/>
      <c r="T253" s="33"/>
    </row>
    <row r="254" spans="2:20" ht="15.75" customHeight="1">
      <c r="B254" s="5"/>
      <c r="C254" s="5"/>
      <c r="D254" s="5"/>
      <c r="E254" s="5"/>
      <c r="F254" s="5"/>
      <c r="P254" s="33"/>
      <c r="Q254" s="33"/>
      <c r="R254" s="33"/>
      <c r="S254" s="33"/>
      <c r="T254" s="33"/>
    </row>
    <row r="255" spans="2:20" ht="15.75" customHeight="1">
      <c r="B255" s="5"/>
      <c r="C255" s="5"/>
      <c r="D255" s="5"/>
      <c r="E255" s="5"/>
      <c r="F255" s="5"/>
      <c r="P255" s="33"/>
      <c r="Q255" s="33"/>
      <c r="R255" s="33"/>
      <c r="S255" s="33"/>
      <c r="T255" s="33"/>
    </row>
    <row r="256" spans="2:20" ht="15.75" customHeight="1">
      <c r="B256" s="5"/>
      <c r="C256" s="5"/>
      <c r="D256" s="5"/>
      <c r="E256" s="5"/>
      <c r="F256" s="5"/>
      <c r="P256" s="33"/>
      <c r="Q256" s="33"/>
      <c r="R256" s="33"/>
      <c r="S256" s="33"/>
      <c r="T256" s="33"/>
    </row>
    <row r="257" spans="2:20" ht="15.75" customHeight="1">
      <c r="B257" s="5"/>
      <c r="C257" s="5"/>
      <c r="D257" s="5"/>
      <c r="E257" s="5"/>
      <c r="F257" s="5"/>
      <c r="P257" s="33"/>
      <c r="Q257" s="33"/>
      <c r="R257" s="33"/>
      <c r="S257" s="33"/>
      <c r="T257" s="33"/>
    </row>
    <row r="258" spans="2:20" ht="15.75" customHeight="1">
      <c r="B258" s="5"/>
      <c r="C258" s="5"/>
      <c r="D258" s="5"/>
      <c r="E258" s="5"/>
      <c r="F258" s="5"/>
      <c r="P258" s="33"/>
      <c r="Q258" s="33"/>
      <c r="R258" s="33"/>
      <c r="S258" s="33"/>
      <c r="T258" s="33"/>
    </row>
    <row r="259" spans="2:20" ht="15.75" customHeight="1">
      <c r="B259" s="5"/>
      <c r="C259" s="5"/>
      <c r="D259" s="5"/>
      <c r="E259" s="5"/>
      <c r="F259" s="5"/>
      <c r="P259" s="33"/>
      <c r="Q259" s="33"/>
      <c r="R259" s="33"/>
      <c r="S259" s="33"/>
      <c r="T259" s="33"/>
    </row>
    <row r="260" spans="2:20" ht="15.75" customHeight="1">
      <c r="B260" s="5"/>
      <c r="C260" s="5"/>
      <c r="D260" s="5"/>
      <c r="E260" s="5"/>
      <c r="F260" s="5"/>
      <c r="P260" s="33"/>
      <c r="Q260" s="33"/>
      <c r="R260" s="33"/>
      <c r="S260" s="33"/>
      <c r="T260" s="33"/>
    </row>
    <row r="261" spans="2:20" ht="15.75" customHeight="1">
      <c r="B261" s="5"/>
      <c r="C261" s="5"/>
      <c r="D261" s="5"/>
      <c r="E261" s="5"/>
      <c r="F261" s="5"/>
      <c r="P261" s="33"/>
      <c r="Q261" s="33"/>
      <c r="R261" s="33"/>
      <c r="S261" s="33"/>
      <c r="T261" s="33"/>
    </row>
    <row r="262" spans="2:20" ht="15.75" customHeight="1">
      <c r="B262" s="5"/>
      <c r="C262" s="5"/>
      <c r="D262" s="5"/>
      <c r="E262" s="5"/>
      <c r="F262" s="5"/>
      <c r="P262" s="33"/>
      <c r="Q262" s="33"/>
      <c r="R262" s="33"/>
      <c r="S262" s="33"/>
      <c r="T262" s="33"/>
    </row>
    <row r="263" spans="2:20" ht="15.75" customHeight="1">
      <c r="B263" s="5"/>
      <c r="C263" s="5"/>
      <c r="D263" s="5"/>
      <c r="E263" s="5"/>
      <c r="F263" s="5"/>
      <c r="P263" s="33"/>
      <c r="Q263" s="33"/>
      <c r="R263" s="33"/>
      <c r="S263" s="33"/>
      <c r="T263" s="33"/>
    </row>
    <row r="264" spans="2:20" ht="15.75" customHeight="1">
      <c r="B264" s="5"/>
      <c r="C264" s="5"/>
      <c r="D264" s="5"/>
      <c r="E264" s="5"/>
      <c r="F264" s="5"/>
      <c r="P264" s="33"/>
      <c r="Q264" s="33"/>
      <c r="R264" s="33"/>
      <c r="S264" s="33"/>
      <c r="T264" s="33"/>
    </row>
    <row r="265" spans="2:20" ht="15.75" customHeight="1">
      <c r="B265" s="5"/>
      <c r="C265" s="5"/>
      <c r="D265" s="5"/>
      <c r="E265" s="5"/>
      <c r="F265" s="5"/>
      <c r="P265" s="33"/>
      <c r="Q265" s="33"/>
      <c r="R265" s="33"/>
      <c r="S265" s="33"/>
      <c r="T265" s="33"/>
    </row>
    <row r="266" spans="2:20" ht="15.75" customHeight="1">
      <c r="B266" s="5"/>
      <c r="C266" s="5"/>
      <c r="D266" s="5"/>
      <c r="E266" s="5"/>
      <c r="F266" s="5"/>
      <c r="P266" s="33"/>
      <c r="Q266" s="33"/>
      <c r="R266" s="33"/>
      <c r="S266" s="33"/>
      <c r="T266" s="33"/>
    </row>
    <row r="267" spans="2:20" ht="15.75" customHeight="1">
      <c r="B267" s="5"/>
      <c r="C267" s="5"/>
      <c r="D267" s="5"/>
      <c r="E267" s="5"/>
      <c r="F267" s="5"/>
      <c r="P267" s="33"/>
      <c r="Q267" s="33"/>
      <c r="R267" s="33"/>
      <c r="S267" s="33"/>
      <c r="T267" s="33"/>
    </row>
    <row r="268" spans="2:20" ht="15.75" customHeight="1">
      <c r="B268" s="5"/>
      <c r="C268" s="5"/>
      <c r="D268" s="5"/>
      <c r="E268" s="5"/>
      <c r="F268" s="5"/>
      <c r="P268" s="33"/>
      <c r="Q268" s="33"/>
      <c r="R268" s="33"/>
      <c r="S268" s="33"/>
      <c r="T268" s="33"/>
    </row>
    <row r="269" spans="2:20" ht="15.75" customHeight="1">
      <c r="B269" s="5"/>
      <c r="C269" s="5"/>
      <c r="D269" s="5"/>
      <c r="E269" s="5"/>
      <c r="F269" s="5"/>
      <c r="P269" s="33"/>
      <c r="Q269" s="33"/>
      <c r="R269" s="33"/>
      <c r="S269" s="33"/>
      <c r="T269" s="33"/>
    </row>
    <row r="270" spans="2:20" ht="15.75" customHeight="1">
      <c r="B270" s="5"/>
      <c r="C270" s="5"/>
      <c r="D270" s="5"/>
      <c r="E270" s="5"/>
      <c r="F270" s="5"/>
      <c r="P270" s="33"/>
      <c r="Q270" s="33"/>
      <c r="R270" s="33"/>
      <c r="S270" s="33"/>
      <c r="T270" s="33"/>
    </row>
    <row r="271" spans="2:20" ht="15.75" customHeight="1">
      <c r="B271" s="5"/>
      <c r="C271" s="5"/>
      <c r="D271" s="5"/>
      <c r="E271" s="5"/>
      <c r="F271" s="5"/>
      <c r="P271" s="33"/>
      <c r="Q271" s="33"/>
      <c r="R271" s="33"/>
      <c r="S271" s="33"/>
      <c r="T271" s="33"/>
    </row>
    <row r="272" spans="2:20" ht="15.75" customHeight="1">
      <c r="B272" s="5"/>
      <c r="C272" s="5"/>
      <c r="D272" s="5"/>
      <c r="E272" s="5"/>
      <c r="F272" s="5"/>
      <c r="P272" s="33"/>
      <c r="Q272" s="33"/>
      <c r="R272" s="33"/>
      <c r="S272" s="33"/>
      <c r="T272" s="33"/>
    </row>
    <row r="273" spans="2:20" ht="15.75" customHeight="1">
      <c r="B273" s="5"/>
      <c r="C273" s="5"/>
      <c r="D273" s="5"/>
      <c r="E273" s="5"/>
      <c r="F273" s="5"/>
      <c r="P273" s="33"/>
      <c r="Q273" s="33"/>
      <c r="R273" s="33"/>
      <c r="S273" s="33"/>
      <c r="T273" s="33"/>
    </row>
    <row r="274" spans="2:20" ht="15.75" customHeight="1">
      <c r="B274" s="5"/>
      <c r="C274" s="5"/>
      <c r="D274" s="5"/>
      <c r="E274" s="5"/>
      <c r="F274" s="5"/>
      <c r="P274" s="33"/>
      <c r="Q274" s="33"/>
      <c r="R274" s="33"/>
      <c r="S274" s="33"/>
      <c r="T274" s="33"/>
    </row>
    <row r="275" spans="2:20" ht="15.75" customHeight="1">
      <c r="B275" s="5"/>
      <c r="C275" s="5"/>
      <c r="D275" s="5"/>
      <c r="E275" s="5"/>
      <c r="F275" s="5"/>
      <c r="P275" s="33"/>
      <c r="Q275" s="33"/>
      <c r="R275" s="33"/>
      <c r="S275" s="33"/>
      <c r="T275" s="33"/>
    </row>
    <row r="276" spans="2:20" ht="15.75" customHeight="1">
      <c r="B276" s="5"/>
      <c r="C276" s="5"/>
      <c r="D276" s="5"/>
      <c r="E276" s="5"/>
      <c r="F276" s="5"/>
      <c r="P276" s="33"/>
      <c r="Q276" s="33"/>
      <c r="R276" s="33"/>
      <c r="S276" s="33"/>
      <c r="T276" s="33"/>
    </row>
    <row r="277" spans="2:20" ht="15.75" customHeight="1">
      <c r="B277" s="5"/>
      <c r="C277" s="5"/>
      <c r="D277" s="5"/>
      <c r="E277" s="5"/>
      <c r="F277" s="5"/>
      <c r="P277" s="33"/>
      <c r="Q277" s="33"/>
      <c r="R277" s="33"/>
      <c r="S277" s="33"/>
      <c r="T277" s="33"/>
    </row>
    <row r="278" spans="2:20" ht="15.75" customHeight="1">
      <c r="B278" s="5"/>
      <c r="C278" s="5"/>
      <c r="D278" s="5"/>
      <c r="E278" s="5"/>
      <c r="F278" s="5"/>
      <c r="P278" s="33"/>
      <c r="Q278" s="33"/>
      <c r="R278" s="33"/>
      <c r="S278" s="33"/>
      <c r="T278" s="33"/>
    </row>
    <row r="279" spans="2:20" ht="15.75" customHeight="1">
      <c r="B279" s="5"/>
      <c r="C279" s="5"/>
      <c r="D279" s="5"/>
      <c r="E279" s="5"/>
      <c r="F279" s="5"/>
      <c r="P279" s="33"/>
      <c r="Q279" s="33"/>
      <c r="R279" s="33"/>
      <c r="S279" s="33"/>
      <c r="T279" s="33"/>
    </row>
    <row r="280" spans="2:20" ht="15.75" customHeight="1">
      <c r="B280" s="5"/>
      <c r="C280" s="5"/>
      <c r="D280" s="5"/>
      <c r="E280" s="5"/>
      <c r="F280" s="5"/>
      <c r="P280" s="33"/>
      <c r="Q280" s="33"/>
      <c r="R280" s="33"/>
      <c r="S280" s="33"/>
      <c r="T280" s="33"/>
    </row>
    <row r="281" spans="2:20" ht="15.75" customHeight="1">
      <c r="B281" s="5"/>
      <c r="C281" s="5"/>
      <c r="D281" s="5"/>
      <c r="E281" s="5"/>
      <c r="F281" s="5"/>
      <c r="P281" s="33"/>
      <c r="Q281" s="33"/>
      <c r="R281" s="33"/>
      <c r="S281" s="33"/>
      <c r="T281" s="33"/>
    </row>
    <row r="282" spans="2:20" ht="15.75" customHeight="1">
      <c r="B282" s="5"/>
      <c r="C282" s="5"/>
      <c r="D282" s="5"/>
      <c r="E282" s="5"/>
      <c r="F282" s="5"/>
      <c r="P282" s="33"/>
      <c r="Q282" s="33"/>
      <c r="R282" s="33"/>
      <c r="S282" s="33"/>
      <c r="T282" s="33"/>
    </row>
    <row r="283" spans="2:20" ht="15.75" customHeight="1">
      <c r="B283" s="5"/>
      <c r="C283" s="5"/>
      <c r="D283" s="5"/>
      <c r="E283" s="5"/>
      <c r="F283" s="5"/>
      <c r="P283" s="33"/>
      <c r="Q283" s="33"/>
      <c r="R283" s="33"/>
      <c r="S283" s="33"/>
      <c r="T283" s="33"/>
    </row>
    <row r="284" spans="2:20" ht="15.75" customHeight="1">
      <c r="B284" s="5"/>
      <c r="C284" s="5"/>
      <c r="D284" s="5"/>
      <c r="E284" s="5"/>
      <c r="F284" s="5"/>
      <c r="P284" s="33"/>
      <c r="Q284" s="33"/>
      <c r="R284" s="33"/>
      <c r="S284" s="33"/>
      <c r="T284" s="33"/>
    </row>
    <row r="285" spans="2:20" ht="15.75" customHeight="1">
      <c r="B285" s="5"/>
      <c r="C285" s="5"/>
      <c r="D285" s="5"/>
      <c r="E285" s="5"/>
      <c r="F285" s="5"/>
      <c r="P285" s="33"/>
      <c r="Q285" s="33"/>
      <c r="R285" s="33"/>
      <c r="S285" s="33"/>
      <c r="T285" s="33"/>
    </row>
    <row r="286" spans="2:20" ht="15.75" customHeight="1">
      <c r="B286" s="5"/>
      <c r="C286" s="5"/>
      <c r="D286" s="5"/>
      <c r="E286" s="5"/>
      <c r="F286" s="5"/>
      <c r="P286" s="33"/>
      <c r="Q286" s="33"/>
      <c r="R286" s="33"/>
      <c r="S286" s="33"/>
      <c r="T286" s="33"/>
    </row>
    <row r="287" spans="2:20" ht="15.75" customHeight="1">
      <c r="B287" s="5"/>
      <c r="C287" s="5"/>
      <c r="D287" s="5"/>
      <c r="E287" s="5"/>
      <c r="F287" s="5"/>
      <c r="P287" s="33"/>
      <c r="Q287" s="33"/>
      <c r="R287" s="33"/>
      <c r="S287" s="33"/>
      <c r="T287" s="33"/>
    </row>
    <row r="288" spans="2:20" ht="15.75" customHeight="1">
      <c r="B288" s="5"/>
      <c r="C288" s="5"/>
      <c r="D288" s="5"/>
      <c r="E288" s="5"/>
      <c r="F288" s="5"/>
      <c r="P288" s="33"/>
      <c r="Q288" s="33"/>
      <c r="R288" s="33"/>
      <c r="S288" s="33"/>
      <c r="T288" s="33"/>
    </row>
    <row r="289" spans="2:20" ht="15.75" customHeight="1">
      <c r="B289" s="5"/>
      <c r="C289" s="5"/>
      <c r="D289" s="5"/>
      <c r="E289" s="5"/>
      <c r="F289" s="5"/>
      <c r="P289" s="33"/>
      <c r="Q289" s="33"/>
      <c r="R289" s="33"/>
      <c r="S289" s="33"/>
      <c r="T289" s="33"/>
    </row>
    <row r="290" spans="2:20" ht="15.75" customHeight="1">
      <c r="B290" s="5"/>
      <c r="C290" s="5"/>
      <c r="D290" s="5"/>
      <c r="E290" s="5"/>
      <c r="F290" s="5"/>
      <c r="P290" s="33"/>
      <c r="Q290" s="33"/>
      <c r="R290" s="33"/>
      <c r="S290" s="33"/>
      <c r="T290" s="33"/>
    </row>
    <row r="291" spans="2:20" ht="15.75" customHeight="1">
      <c r="B291" s="5"/>
      <c r="C291" s="5"/>
      <c r="D291" s="5"/>
      <c r="E291" s="5"/>
      <c r="F291" s="5"/>
      <c r="P291" s="33"/>
      <c r="Q291" s="33"/>
      <c r="R291" s="33"/>
      <c r="S291" s="33"/>
      <c r="T291" s="33"/>
    </row>
    <row r="292" spans="2:20" ht="15.75" customHeight="1">
      <c r="B292" s="5"/>
      <c r="C292" s="5"/>
      <c r="D292" s="5"/>
      <c r="E292" s="5"/>
      <c r="F292" s="5"/>
      <c r="P292" s="33"/>
      <c r="Q292" s="33"/>
      <c r="R292" s="33"/>
      <c r="S292" s="33"/>
      <c r="T292" s="33"/>
    </row>
    <row r="293" spans="2:20" ht="15.75" customHeight="1">
      <c r="B293" s="5"/>
      <c r="C293" s="5"/>
      <c r="D293" s="5"/>
      <c r="E293" s="5"/>
      <c r="F293" s="5"/>
      <c r="P293" s="33"/>
      <c r="Q293" s="33"/>
      <c r="R293" s="33"/>
      <c r="S293" s="33"/>
      <c r="T293" s="33"/>
    </row>
    <row r="294" spans="2:20" ht="15.75" customHeight="1">
      <c r="B294" s="5"/>
      <c r="C294" s="5"/>
      <c r="D294" s="5"/>
      <c r="E294" s="5"/>
      <c r="F294" s="5"/>
      <c r="P294" s="33"/>
      <c r="Q294" s="33"/>
      <c r="R294" s="33"/>
      <c r="S294" s="33"/>
      <c r="T294" s="33"/>
    </row>
    <row r="295" spans="2:20" ht="15.75" customHeight="1">
      <c r="B295" s="5"/>
      <c r="C295" s="5"/>
      <c r="D295" s="5"/>
      <c r="E295" s="5"/>
      <c r="F295" s="5"/>
      <c r="P295" s="33"/>
      <c r="Q295" s="33"/>
      <c r="R295" s="33"/>
      <c r="S295" s="33"/>
      <c r="T295" s="33"/>
    </row>
    <row r="296" spans="2:20" ht="15.75" customHeight="1">
      <c r="B296" s="5"/>
      <c r="C296" s="5"/>
      <c r="D296" s="5"/>
      <c r="E296" s="5"/>
      <c r="F296" s="5"/>
      <c r="P296" s="33"/>
      <c r="Q296" s="33"/>
      <c r="R296" s="33"/>
      <c r="S296" s="33"/>
      <c r="T296" s="33"/>
    </row>
    <row r="297" spans="2:20" ht="15.75" customHeight="1">
      <c r="B297" s="5"/>
      <c r="C297" s="5"/>
      <c r="D297" s="5"/>
      <c r="E297" s="5"/>
      <c r="F297" s="5"/>
      <c r="P297" s="33"/>
      <c r="Q297" s="33"/>
      <c r="R297" s="33"/>
      <c r="S297" s="33"/>
      <c r="T297" s="33"/>
    </row>
    <row r="298" spans="2:20" ht="15.75" customHeight="1">
      <c r="B298" s="5"/>
      <c r="C298" s="5"/>
      <c r="D298" s="5"/>
      <c r="E298" s="5"/>
      <c r="F298" s="5"/>
      <c r="P298" s="33"/>
      <c r="Q298" s="33"/>
      <c r="R298" s="33"/>
      <c r="S298" s="33"/>
      <c r="T298" s="33"/>
    </row>
    <row r="299" spans="2:20" ht="15.75" customHeight="1">
      <c r="B299" s="5"/>
      <c r="C299" s="5"/>
      <c r="D299" s="5"/>
      <c r="E299" s="5"/>
      <c r="F299" s="5"/>
      <c r="P299" s="33"/>
      <c r="Q299" s="33"/>
      <c r="R299" s="33"/>
      <c r="S299" s="33"/>
      <c r="T299" s="33"/>
    </row>
    <row r="300" spans="2:20" ht="15.75" customHeight="1">
      <c r="B300" s="5"/>
      <c r="C300" s="5"/>
      <c r="D300" s="5"/>
      <c r="E300" s="5"/>
      <c r="F300" s="5"/>
      <c r="P300" s="33"/>
      <c r="Q300" s="33"/>
      <c r="R300" s="33"/>
      <c r="S300" s="33"/>
      <c r="T300" s="33"/>
    </row>
    <row r="301" spans="2:20" ht="15.75" customHeight="1">
      <c r="B301" s="5"/>
      <c r="C301" s="5"/>
      <c r="D301" s="5"/>
      <c r="E301" s="5"/>
      <c r="F301" s="5"/>
      <c r="P301" s="33"/>
      <c r="Q301" s="33"/>
      <c r="R301" s="33"/>
      <c r="S301" s="33"/>
      <c r="T301" s="33"/>
    </row>
    <row r="302" spans="2:20" ht="15.75" customHeight="1">
      <c r="B302" s="5"/>
      <c r="C302" s="5"/>
      <c r="D302" s="5"/>
      <c r="E302" s="5"/>
      <c r="F302" s="5"/>
      <c r="P302" s="33"/>
      <c r="Q302" s="33"/>
      <c r="R302" s="33"/>
      <c r="S302" s="33"/>
      <c r="T302" s="33"/>
    </row>
    <row r="303" spans="2:20" ht="15.75" customHeight="1">
      <c r="B303" s="5"/>
      <c r="C303" s="5"/>
      <c r="D303" s="5"/>
      <c r="E303" s="5"/>
      <c r="F303" s="5"/>
      <c r="P303" s="33"/>
      <c r="Q303" s="33"/>
      <c r="R303" s="33"/>
      <c r="S303" s="33"/>
      <c r="T303" s="33"/>
    </row>
    <row r="304" spans="2:20" ht="15.75" customHeight="1">
      <c r="B304" s="5"/>
      <c r="C304" s="5"/>
      <c r="D304" s="5"/>
      <c r="E304" s="5"/>
      <c r="F304" s="5"/>
      <c r="P304" s="33"/>
      <c r="Q304" s="33"/>
      <c r="R304" s="33"/>
      <c r="S304" s="33"/>
      <c r="T304" s="33"/>
    </row>
    <row r="305" spans="2:20" ht="15.75" customHeight="1">
      <c r="B305" s="5"/>
      <c r="C305" s="5"/>
      <c r="D305" s="5"/>
      <c r="E305" s="5"/>
      <c r="F305" s="5"/>
      <c r="P305" s="33"/>
      <c r="Q305" s="33"/>
      <c r="R305" s="33"/>
      <c r="S305" s="33"/>
      <c r="T305" s="33"/>
    </row>
    <row r="306" spans="2:20" ht="15.75" customHeight="1">
      <c r="B306" s="5"/>
      <c r="C306" s="5"/>
      <c r="D306" s="5"/>
      <c r="E306" s="5"/>
      <c r="F306" s="5"/>
      <c r="P306" s="33"/>
      <c r="Q306" s="33"/>
      <c r="R306" s="33"/>
      <c r="S306" s="33"/>
      <c r="T306" s="33"/>
    </row>
    <row r="307" spans="2:20" ht="15.75" customHeight="1">
      <c r="B307" s="5"/>
      <c r="C307" s="5"/>
      <c r="D307" s="5"/>
      <c r="E307" s="5"/>
      <c r="F307" s="5"/>
      <c r="P307" s="33"/>
      <c r="Q307" s="33"/>
      <c r="R307" s="33"/>
      <c r="S307" s="33"/>
      <c r="T307" s="33"/>
    </row>
    <row r="308" spans="2:20" ht="15.75" customHeight="1">
      <c r="B308" s="5"/>
      <c r="C308" s="5"/>
      <c r="D308" s="5"/>
      <c r="E308" s="5"/>
      <c r="F308" s="5"/>
      <c r="P308" s="33"/>
      <c r="Q308" s="33"/>
      <c r="R308" s="33"/>
      <c r="S308" s="33"/>
      <c r="T308" s="33"/>
    </row>
    <row r="309" spans="2:20" ht="15.75" customHeight="1">
      <c r="B309" s="5"/>
      <c r="C309" s="5"/>
      <c r="D309" s="5"/>
      <c r="E309" s="5"/>
      <c r="F309" s="5"/>
      <c r="P309" s="33"/>
      <c r="Q309" s="33"/>
      <c r="R309" s="33"/>
      <c r="S309" s="33"/>
      <c r="T309" s="33"/>
    </row>
    <row r="310" spans="2:20" ht="15.75" customHeight="1">
      <c r="B310" s="5"/>
      <c r="C310" s="5"/>
      <c r="D310" s="5"/>
      <c r="E310" s="5"/>
      <c r="F310" s="5"/>
      <c r="P310" s="33"/>
      <c r="Q310" s="33"/>
      <c r="R310" s="33"/>
      <c r="S310" s="33"/>
      <c r="T310" s="33"/>
    </row>
    <row r="311" spans="2:20" ht="15.75" customHeight="1">
      <c r="B311" s="5"/>
      <c r="C311" s="5"/>
      <c r="D311" s="5"/>
      <c r="E311" s="5"/>
      <c r="F311" s="5"/>
      <c r="P311" s="33"/>
      <c r="Q311" s="33"/>
      <c r="R311" s="33"/>
      <c r="S311" s="33"/>
      <c r="T311" s="33"/>
    </row>
    <row r="312" spans="2:20" ht="15.75" customHeight="1">
      <c r="B312" s="5"/>
      <c r="C312" s="5"/>
      <c r="D312" s="5"/>
      <c r="E312" s="5"/>
      <c r="F312" s="5"/>
      <c r="P312" s="33"/>
      <c r="Q312" s="33"/>
      <c r="R312" s="33"/>
      <c r="S312" s="33"/>
      <c r="T312" s="33"/>
    </row>
    <row r="313" spans="2:20" ht="15.75" customHeight="1">
      <c r="B313" s="5"/>
      <c r="C313" s="5"/>
      <c r="D313" s="5"/>
      <c r="E313" s="5"/>
      <c r="F313" s="5"/>
      <c r="P313" s="33"/>
      <c r="Q313" s="33"/>
      <c r="R313" s="33"/>
      <c r="S313" s="33"/>
      <c r="T313" s="33"/>
    </row>
    <row r="314" spans="2:20" ht="15.75" customHeight="1">
      <c r="B314" s="5"/>
      <c r="C314" s="5"/>
      <c r="D314" s="5"/>
      <c r="E314" s="5"/>
      <c r="F314" s="5"/>
      <c r="P314" s="33"/>
      <c r="Q314" s="33"/>
      <c r="R314" s="33"/>
      <c r="S314" s="33"/>
      <c r="T314" s="33"/>
    </row>
    <row r="315" spans="2:20" ht="15.75" customHeight="1">
      <c r="B315" s="5"/>
      <c r="C315" s="5"/>
      <c r="D315" s="5"/>
      <c r="E315" s="5"/>
      <c r="F315" s="5"/>
      <c r="P315" s="33"/>
      <c r="Q315" s="33"/>
      <c r="R315" s="33"/>
      <c r="S315" s="33"/>
      <c r="T315" s="33"/>
    </row>
    <row r="316" spans="2:20" ht="15.75" customHeight="1">
      <c r="B316" s="5"/>
      <c r="C316" s="5"/>
      <c r="D316" s="5"/>
      <c r="E316" s="5"/>
      <c r="F316" s="5"/>
      <c r="P316" s="33"/>
      <c r="Q316" s="33"/>
      <c r="R316" s="33"/>
      <c r="S316" s="33"/>
      <c r="T316" s="33"/>
    </row>
    <row r="317" spans="2:20" ht="15.75" customHeight="1">
      <c r="B317" s="5"/>
      <c r="C317" s="5"/>
      <c r="D317" s="5"/>
      <c r="E317" s="5"/>
      <c r="F317" s="5"/>
      <c r="P317" s="33"/>
      <c r="Q317" s="33"/>
      <c r="R317" s="33"/>
      <c r="S317" s="33"/>
      <c r="T317" s="33"/>
    </row>
    <row r="318" spans="2:20" ht="15.75" customHeight="1">
      <c r="B318" s="5"/>
      <c r="C318" s="5"/>
      <c r="D318" s="5"/>
      <c r="E318" s="5"/>
      <c r="F318" s="5"/>
      <c r="P318" s="33"/>
      <c r="Q318" s="33"/>
      <c r="R318" s="33"/>
      <c r="S318" s="33"/>
      <c r="T318" s="33"/>
    </row>
    <row r="319" spans="2:20" ht="15.75" customHeight="1">
      <c r="B319" s="5"/>
      <c r="C319" s="5"/>
      <c r="D319" s="5"/>
      <c r="E319" s="5"/>
      <c r="F319" s="5"/>
      <c r="P319" s="33"/>
      <c r="Q319" s="33"/>
      <c r="R319" s="33"/>
      <c r="S319" s="33"/>
      <c r="T319" s="33"/>
    </row>
    <row r="320" spans="2:20" ht="15.75" customHeight="1">
      <c r="B320" s="5"/>
      <c r="C320" s="5"/>
      <c r="D320" s="5"/>
      <c r="E320" s="5"/>
      <c r="F320" s="5"/>
      <c r="P320" s="33"/>
      <c r="Q320" s="33"/>
      <c r="R320" s="33"/>
      <c r="S320" s="33"/>
      <c r="T320" s="33"/>
    </row>
    <row r="321" spans="2:20" ht="15.75" customHeight="1">
      <c r="B321" s="5"/>
      <c r="C321" s="5"/>
      <c r="D321" s="5"/>
      <c r="E321" s="5"/>
      <c r="F321" s="5"/>
      <c r="P321" s="33"/>
      <c r="Q321" s="33"/>
      <c r="R321" s="33"/>
      <c r="S321" s="33"/>
      <c r="T321" s="33"/>
    </row>
    <row r="322" spans="2:20" ht="15.75" customHeight="1">
      <c r="B322" s="5"/>
      <c r="C322" s="5"/>
      <c r="D322" s="5"/>
      <c r="E322" s="5"/>
      <c r="F322" s="5"/>
      <c r="P322" s="33"/>
      <c r="Q322" s="33"/>
      <c r="R322" s="33"/>
      <c r="S322" s="33"/>
      <c r="T322" s="33"/>
    </row>
    <row r="323" spans="2:20" ht="15.75" customHeight="1">
      <c r="B323" s="5"/>
      <c r="C323" s="5"/>
      <c r="D323" s="5"/>
      <c r="E323" s="5"/>
      <c r="F323" s="5"/>
      <c r="P323" s="33"/>
      <c r="Q323" s="33"/>
      <c r="R323" s="33"/>
      <c r="S323" s="33"/>
      <c r="T323" s="33"/>
    </row>
    <row r="324" spans="2:20" ht="15.75" customHeight="1">
      <c r="B324" s="5"/>
      <c r="C324" s="5"/>
      <c r="D324" s="5"/>
      <c r="E324" s="5"/>
      <c r="F324" s="5"/>
      <c r="P324" s="33"/>
      <c r="Q324" s="33"/>
      <c r="R324" s="33"/>
      <c r="S324" s="33"/>
      <c r="T324" s="33"/>
    </row>
    <row r="325" spans="2:20" ht="15.75" customHeight="1">
      <c r="B325" s="5"/>
      <c r="C325" s="5"/>
      <c r="D325" s="5"/>
      <c r="E325" s="5"/>
      <c r="F325" s="5"/>
      <c r="P325" s="33"/>
      <c r="Q325" s="33"/>
      <c r="R325" s="33"/>
      <c r="S325" s="33"/>
      <c r="T325" s="33"/>
    </row>
    <row r="326" spans="2:20" ht="15.75" customHeight="1">
      <c r="B326" s="5"/>
      <c r="C326" s="5"/>
      <c r="D326" s="5"/>
      <c r="E326" s="5"/>
      <c r="F326" s="5"/>
      <c r="P326" s="33"/>
      <c r="Q326" s="33"/>
      <c r="R326" s="33"/>
      <c r="S326" s="33"/>
      <c r="T326" s="33"/>
    </row>
    <row r="327" spans="2:20" ht="15.75" customHeight="1">
      <c r="B327" s="5"/>
      <c r="C327" s="5"/>
      <c r="D327" s="5"/>
      <c r="E327" s="5"/>
      <c r="F327" s="5"/>
      <c r="P327" s="33"/>
      <c r="Q327" s="33"/>
      <c r="R327" s="33"/>
      <c r="S327" s="33"/>
      <c r="T327" s="33"/>
    </row>
    <row r="328" spans="2:20" ht="15.75" customHeight="1">
      <c r="B328" s="5"/>
      <c r="C328" s="5"/>
      <c r="D328" s="5"/>
      <c r="E328" s="5"/>
      <c r="F328" s="5"/>
      <c r="P328" s="33"/>
      <c r="Q328" s="33"/>
      <c r="R328" s="33"/>
      <c r="S328" s="33"/>
      <c r="T328" s="33"/>
    </row>
    <row r="329" spans="2:20" ht="15.75" customHeight="1">
      <c r="B329" s="5"/>
      <c r="C329" s="5"/>
      <c r="D329" s="5"/>
      <c r="E329" s="5"/>
      <c r="F329" s="5"/>
      <c r="P329" s="33"/>
      <c r="Q329" s="33"/>
      <c r="R329" s="33"/>
      <c r="S329" s="33"/>
      <c r="T329" s="33"/>
    </row>
    <row r="330" spans="2:20" ht="15.75" customHeight="1">
      <c r="B330" s="5"/>
      <c r="C330" s="5"/>
      <c r="D330" s="5"/>
      <c r="E330" s="5"/>
      <c r="F330" s="5"/>
      <c r="P330" s="33"/>
      <c r="Q330" s="33"/>
      <c r="R330" s="33"/>
      <c r="S330" s="33"/>
      <c r="T330" s="33"/>
    </row>
    <row r="331" spans="2:20" ht="15.75" customHeight="1">
      <c r="B331" s="5"/>
      <c r="C331" s="5"/>
      <c r="D331" s="5"/>
      <c r="E331" s="5"/>
      <c r="F331" s="5"/>
      <c r="P331" s="33"/>
      <c r="Q331" s="33"/>
      <c r="R331" s="33"/>
      <c r="S331" s="33"/>
      <c r="T331" s="33"/>
    </row>
    <row r="332" spans="2:20" ht="15.75" customHeight="1">
      <c r="B332" s="5"/>
      <c r="C332" s="5"/>
      <c r="D332" s="5"/>
      <c r="E332" s="5"/>
      <c r="F332" s="5"/>
      <c r="P332" s="33"/>
      <c r="Q332" s="33"/>
      <c r="R332" s="33"/>
      <c r="S332" s="33"/>
      <c r="T332" s="33"/>
    </row>
    <row r="333" spans="2:20" ht="15.75" customHeight="1">
      <c r="B333" s="5"/>
      <c r="C333" s="5"/>
      <c r="D333" s="5"/>
      <c r="E333" s="5"/>
      <c r="F333" s="5"/>
      <c r="P333" s="33"/>
      <c r="Q333" s="33"/>
      <c r="R333" s="33"/>
      <c r="S333" s="33"/>
      <c r="T333" s="33"/>
    </row>
    <row r="334" spans="2:20" ht="15.75" customHeight="1">
      <c r="B334" s="5"/>
      <c r="C334" s="5"/>
      <c r="D334" s="5"/>
      <c r="E334" s="5"/>
      <c r="F334" s="5"/>
      <c r="P334" s="33"/>
      <c r="Q334" s="33"/>
      <c r="R334" s="33"/>
      <c r="S334" s="33"/>
      <c r="T334" s="33"/>
    </row>
    <row r="335" spans="2:20" ht="15.75" customHeight="1">
      <c r="B335" s="5"/>
      <c r="C335" s="5"/>
      <c r="D335" s="5"/>
      <c r="E335" s="5"/>
      <c r="F335" s="5"/>
      <c r="P335" s="33"/>
      <c r="Q335" s="33"/>
      <c r="R335" s="33"/>
      <c r="S335" s="33"/>
      <c r="T335" s="33"/>
    </row>
    <row r="336" spans="2:20" ht="15.75" customHeight="1">
      <c r="B336" s="5"/>
      <c r="C336" s="5"/>
      <c r="D336" s="5"/>
      <c r="E336" s="5"/>
      <c r="F336" s="5"/>
      <c r="P336" s="33"/>
      <c r="Q336" s="33"/>
      <c r="R336" s="33"/>
      <c r="S336" s="33"/>
      <c r="T336" s="33"/>
    </row>
    <row r="337" spans="2:20" ht="15.75" customHeight="1">
      <c r="B337" s="5"/>
      <c r="C337" s="5"/>
      <c r="D337" s="5"/>
      <c r="E337" s="5"/>
      <c r="F337" s="5"/>
      <c r="P337" s="33"/>
      <c r="Q337" s="33"/>
      <c r="R337" s="33"/>
      <c r="S337" s="33"/>
      <c r="T337" s="33"/>
    </row>
    <row r="338" spans="2:20" ht="15.75" customHeight="1">
      <c r="B338" s="5"/>
      <c r="C338" s="5"/>
      <c r="D338" s="5"/>
      <c r="E338" s="5"/>
      <c r="F338" s="5"/>
      <c r="P338" s="33"/>
      <c r="Q338" s="33"/>
      <c r="R338" s="33"/>
      <c r="S338" s="33"/>
      <c r="T338" s="33"/>
    </row>
    <row r="339" spans="2:20" ht="15.75" customHeight="1">
      <c r="B339" s="5"/>
      <c r="C339" s="5"/>
      <c r="D339" s="5"/>
      <c r="E339" s="5"/>
      <c r="F339" s="5"/>
      <c r="P339" s="33"/>
      <c r="Q339" s="33"/>
      <c r="R339" s="33"/>
      <c r="S339" s="33"/>
      <c r="T339" s="33"/>
    </row>
    <row r="340" spans="2:20" ht="15.75" customHeight="1">
      <c r="B340" s="5"/>
      <c r="C340" s="5"/>
      <c r="D340" s="5"/>
      <c r="E340" s="5"/>
      <c r="F340" s="5"/>
      <c r="P340" s="33"/>
      <c r="Q340" s="33"/>
      <c r="R340" s="33"/>
      <c r="S340" s="33"/>
      <c r="T340" s="33"/>
    </row>
    <row r="341" spans="2:20" ht="15.75" customHeight="1">
      <c r="B341" s="5"/>
      <c r="C341" s="5"/>
      <c r="D341" s="5"/>
      <c r="E341" s="5"/>
      <c r="F341" s="5"/>
      <c r="P341" s="33"/>
      <c r="Q341" s="33"/>
      <c r="R341" s="33"/>
      <c r="S341" s="33"/>
      <c r="T341" s="33"/>
    </row>
    <row r="342" spans="2:20" ht="15.75" customHeight="1">
      <c r="B342" s="5"/>
      <c r="C342" s="5"/>
      <c r="D342" s="5"/>
      <c r="E342" s="5"/>
      <c r="F342" s="5"/>
      <c r="P342" s="33"/>
      <c r="Q342" s="33"/>
      <c r="R342" s="33"/>
      <c r="S342" s="33"/>
      <c r="T342" s="33"/>
    </row>
    <row r="343" spans="2:20" ht="15.75" customHeight="1">
      <c r="B343" s="5"/>
      <c r="C343" s="5"/>
      <c r="D343" s="5"/>
      <c r="E343" s="5"/>
      <c r="F343" s="5"/>
      <c r="P343" s="33"/>
      <c r="Q343" s="33"/>
      <c r="R343" s="33"/>
      <c r="S343" s="33"/>
      <c r="T343" s="33"/>
    </row>
    <row r="344" spans="2:20" ht="15.75" customHeight="1">
      <c r="B344" s="5"/>
      <c r="C344" s="5"/>
      <c r="D344" s="5"/>
      <c r="E344" s="5"/>
      <c r="F344" s="5"/>
      <c r="P344" s="33"/>
      <c r="Q344" s="33"/>
      <c r="R344" s="33"/>
      <c r="S344" s="33"/>
      <c r="T344" s="33"/>
    </row>
    <row r="345" spans="2:20" ht="15.75" customHeight="1">
      <c r="B345" s="5"/>
      <c r="C345" s="5"/>
      <c r="D345" s="5"/>
      <c r="E345" s="5"/>
      <c r="F345" s="5"/>
      <c r="P345" s="33"/>
      <c r="Q345" s="33"/>
      <c r="R345" s="33"/>
      <c r="S345" s="33"/>
      <c r="T345" s="33"/>
    </row>
    <row r="346" spans="2:20" ht="15.75" customHeight="1">
      <c r="B346" s="5"/>
      <c r="C346" s="5"/>
      <c r="D346" s="5"/>
      <c r="E346" s="5"/>
      <c r="F346" s="5"/>
      <c r="P346" s="33"/>
      <c r="Q346" s="33"/>
      <c r="R346" s="33"/>
      <c r="S346" s="33"/>
      <c r="T346" s="33"/>
    </row>
    <row r="347" spans="2:20" ht="15.75" customHeight="1">
      <c r="B347" s="5"/>
      <c r="C347" s="5"/>
      <c r="D347" s="5"/>
      <c r="E347" s="5"/>
      <c r="F347" s="5"/>
      <c r="P347" s="33"/>
      <c r="Q347" s="33"/>
      <c r="R347" s="33"/>
      <c r="S347" s="33"/>
      <c r="T347" s="33"/>
    </row>
    <row r="348" spans="2:20" ht="15.75" customHeight="1">
      <c r="B348" s="5"/>
      <c r="C348" s="5"/>
      <c r="D348" s="5"/>
      <c r="E348" s="5"/>
      <c r="F348" s="5"/>
      <c r="P348" s="33"/>
      <c r="Q348" s="33"/>
      <c r="R348" s="33"/>
      <c r="S348" s="33"/>
      <c r="T348" s="33"/>
    </row>
    <row r="349" spans="2:20" ht="15.75" customHeight="1">
      <c r="B349" s="5"/>
      <c r="C349" s="5"/>
      <c r="D349" s="5"/>
      <c r="E349" s="5"/>
      <c r="F349" s="5"/>
      <c r="P349" s="33"/>
      <c r="Q349" s="33"/>
      <c r="R349" s="33"/>
      <c r="S349" s="33"/>
      <c r="T349" s="33"/>
    </row>
    <row r="350" spans="2:20" ht="15.75" customHeight="1">
      <c r="B350" s="5"/>
      <c r="C350" s="5"/>
      <c r="D350" s="5"/>
      <c r="E350" s="5"/>
      <c r="F350" s="5"/>
      <c r="P350" s="33"/>
      <c r="Q350" s="33"/>
      <c r="R350" s="33"/>
      <c r="S350" s="33"/>
      <c r="T350" s="33"/>
    </row>
    <row r="351" spans="2:20" ht="15.75" customHeight="1">
      <c r="B351" s="5"/>
      <c r="C351" s="5"/>
      <c r="D351" s="5"/>
      <c r="E351" s="5"/>
      <c r="F351" s="5"/>
      <c r="P351" s="33"/>
      <c r="Q351" s="33"/>
      <c r="R351" s="33"/>
      <c r="S351" s="33"/>
      <c r="T351" s="33"/>
    </row>
    <row r="352" spans="2:20" ht="15.75" customHeight="1">
      <c r="B352" s="5"/>
      <c r="C352" s="5"/>
      <c r="D352" s="5"/>
      <c r="E352" s="5"/>
      <c r="F352" s="5"/>
      <c r="P352" s="33"/>
      <c r="Q352" s="33"/>
      <c r="R352" s="33"/>
      <c r="S352" s="33"/>
      <c r="T352" s="33"/>
    </row>
    <row r="353" spans="2:20" ht="15.75" customHeight="1">
      <c r="B353" s="5"/>
      <c r="C353" s="5"/>
      <c r="D353" s="5"/>
      <c r="E353" s="5"/>
      <c r="F353" s="5"/>
      <c r="P353" s="33"/>
      <c r="Q353" s="33"/>
      <c r="R353" s="33"/>
      <c r="S353" s="33"/>
      <c r="T353" s="33"/>
    </row>
    <row r="354" spans="2:20" ht="15.75" customHeight="1">
      <c r="B354" s="5"/>
      <c r="C354" s="5"/>
      <c r="D354" s="5"/>
      <c r="E354" s="5"/>
      <c r="F354" s="5"/>
      <c r="P354" s="33"/>
      <c r="Q354" s="33"/>
      <c r="R354" s="33"/>
      <c r="S354" s="33"/>
      <c r="T354" s="33"/>
    </row>
    <row r="355" spans="2:20" ht="15.75" customHeight="1">
      <c r="B355" s="5"/>
      <c r="C355" s="5"/>
      <c r="D355" s="5"/>
      <c r="E355" s="5"/>
      <c r="F355" s="5"/>
      <c r="P355" s="33"/>
      <c r="Q355" s="33"/>
      <c r="R355" s="33"/>
      <c r="S355" s="33"/>
      <c r="T355" s="33"/>
    </row>
    <row r="356" spans="2:20" ht="15.75" customHeight="1">
      <c r="B356" s="5"/>
      <c r="C356" s="5"/>
      <c r="D356" s="5"/>
      <c r="E356" s="5"/>
      <c r="F356" s="5"/>
      <c r="P356" s="33"/>
      <c r="Q356" s="33"/>
      <c r="R356" s="33"/>
      <c r="S356" s="33"/>
      <c r="T356" s="33"/>
    </row>
    <row r="357" spans="2:20" ht="15.75" customHeight="1">
      <c r="B357" s="5"/>
      <c r="C357" s="5"/>
      <c r="D357" s="5"/>
      <c r="E357" s="5"/>
      <c r="F357" s="5"/>
      <c r="P357" s="33"/>
      <c r="Q357" s="33"/>
      <c r="R357" s="33"/>
      <c r="S357" s="33"/>
      <c r="T357" s="33"/>
    </row>
    <row r="358" spans="2:20" ht="15.75" customHeight="1">
      <c r="B358" s="5"/>
      <c r="C358" s="5"/>
      <c r="D358" s="5"/>
      <c r="E358" s="5"/>
      <c r="F358" s="5"/>
      <c r="P358" s="33"/>
      <c r="Q358" s="33"/>
      <c r="R358" s="33"/>
      <c r="S358" s="33"/>
      <c r="T358" s="33"/>
    </row>
    <row r="359" spans="2:20" ht="15.75" customHeight="1">
      <c r="B359" s="5"/>
      <c r="C359" s="5"/>
      <c r="D359" s="5"/>
      <c r="E359" s="5"/>
      <c r="F359" s="5"/>
      <c r="P359" s="33"/>
      <c r="Q359" s="33"/>
      <c r="R359" s="33"/>
      <c r="S359" s="33"/>
      <c r="T359" s="33"/>
    </row>
    <row r="360" spans="2:20" ht="15.75" customHeight="1">
      <c r="B360" s="5"/>
      <c r="C360" s="5"/>
      <c r="D360" s="5"/>
      <c r="E360" s="5"/>
      <c r="F360" s="5"/>
      <c r="P360" s="33"/>
      <c r="Q360" s="33"/>
      <c r="R360" s="33"/>
      <c r="S360" s="33"/>
      <c r="T360" s="33"/>
    </row>
    <row r="361" spans="2:20" ht="15.75" customHeight="1">
      <c r="B361" s="5"/>
      <c r="C361" s="5"/>
      <c r="D361" s="5"/>
      <c r="E361" s="5"/>
      <c r="F361" s="5"/>
      <c r="P361" s="33"/>
      <c r="Q361" s="33"/>
      <c r="R361" s="33"/>
      <c r="S361" s="33"/>
      <c r="T361" s="33"/>
    </row>
    <row r="362" spans="2:20" ht="15.75" customHeight="1">
      <c r="B362" s="5"/>
      <c r="C362" s="5"/>
      <c r="D362" s="5"/>
      <c r="E362" s="5"/>
      <c r="F362" s="5"/>
      <c r="P362" s="33"/>
      <c r="Q362" s="33"/>
      <c r="R362" s="33"/>
      <c r="S362" s="33"/>
      <c r="T362" s="33"/>
    </row>
    <row r="363" spans="2:20" ht="15.75" customHeight="1">
      <c r="B363" s="5"/>
      <c r="C363" s="5"/>
      <c r="D363" s="5"/>
      <c r="E363" s="5"/>
      <c r="F363" s="5"/>
      <c r="P363" s="33"/>
      <c r="Q363" s="33"/>
      <c r="R363" s="33"/>
      <c r="S363" s="33"/>
      <c r="T363" s="33"/>
    </row>
    <row r="364" spans="2:20" ht="15.75" customHeight="1">
      <c r="B364" s="5"/>
      <c r="C364" s="5"/>
      <c r="D364" s="5"/>
      <c r="E364" s="5"/>
      <c r="F364" s="5"/>
      <c r="P364" s="33"/>
      <c r="Q364" s="33"/>
      <c r="R364" s="33"/>
      <c r="S364" s="33"/>
      <c r="T364" s="33"/>
    </row>
    <row r="365" spans="2:20" ht="15.75" customHeight="1">
      <c r="B365" s="5"/>
      <c r="C365" s="5"/>
      <c r="D365" s="5"/>
      <c r="E365" s="5"/>
      <c r="F365" s="5"/>
      <c r="P365" s="33"/>
      <c r="Q365" s="33"/>
      <c r="R365" s="33"/>
      <c r="S365" s="33"/>
      <c r="T365" s="33"/>
    </row>
    <row r="366" spans="2:20" ht="15.75" customHeight="1">
      <c r="B366" s="5"/>
      <c r="C366" s="5"/>
      <c r="D366" s="5"/>
      <c r="E366" s="5"/>
      <c r="F366" s="5"/>
      <c r="P366" s="33"/>
      <c r="Q366" s="33"/>
      <c r="R366" s="33"/>
      <c r="S366" s="33"/>
      <c r="T366" s="33"/>
    </row>
    <row r="367" spans="2:20" ht="15.75" customHeight="1">
      <c r="B367" s="5"/>
      <c r="C367" s="5"/>
      <c r="D367" s="5"/>
      <c r="E367" s="5"/>
      <c r="F367" s="5"/>
      <c r="P367" s="33"/>
      <c r="Q367" s="33"/>
      <c r="R367" s="33"/>
      <c r="S367" s="33"/>
      <c r="T367" s="33"/>
    </row>
    <row r="368" spans="2:20" ht="15.75" customHeight="1">
      <c r="B368" s="5"/>
      <c r="C368" s="5"/>
      <c r="D368" s="5"/>
      <c r="E368" s="5"/>
      <c r="F368" s="5"/>
      <c r="P368" s="33"/>
      <c r="Q368" s="33"/>
      <c r="R368" s="33"/>
      <c r="S368" s="33"/>
      <c r="T368" s="33"/>
    </row>
    <row r="369" spans="2:20" ht="15.75" customHeight="1">
      <c r="B369" s="5"/>
      <c r="C369" s="5"/>
      <c r="D369" s="5"/>
      <c r="E369" s="5"/>
      <c r="F369" s="5"/>
      <c r="P369" s="33"/>
      <c r="Q369" s="33"/>
      <c r="R369" s="33"/>
      <c r="S369" s="33"/>
      <c r="T369" s="33"/>
    </row>
    <row r="370" spans="2:20" ht="15.75" customHeight="1">
      <c r="B370" s="5"/>
      <c r="C370" s="5"/>
      <c r="D370" s="5"/>
      <c r="E370" s="5"/>
      <c r="F370" s="5"/>
      <c r="P370" s="33"/>
      <c r="Q370" s="33"/>
      <c r="R370" s="33"/>
      <c r="S370" s="33"/>
      <c r="T370" s="33"/>
    </row>
    <row r="371" spans="2:20" ht="15.75" customHeight="1">
      <c r="B371" s="5"/>
      <c r="C371" s="5"/>
      <c r="D371" s="5"/>
      <c r="E371" s="5"/>
      <c r="F371" s="5"/>
      <c r="P371" s="33"/>
      <c r="Q371" s="33"/>
      <c r="R371" s="33"/>
      <c r="S371" s="33"/>
      <c r="T371" s="33"/>
    </row>
    <row r="372" spans="2:20" ht="15.75" customHeight="1">
      <c r="B372" s="5"/>
      <c r="C372" s="5"/>
      <c r="D372" s="5"/>
      <c r="E372" s="5"/>
      <c r="F372" s="5"/>
      <c r="P372" s="33"/>
      <c r="Q372" s="33"/>
      <c r="R372" s="33"/>
      <c r="S372" s="33"/>
      <c r="T372" s="33"/>
    </row>
    <row r="373" spans="2:20" ht="15.75" customHeight="1">
      <c r="B373" s="5"/>
      <c r="C373" s="5"/>
      <c r="D373" s="5"/>
      <c r="E373" s="5"/>
      <c r="F373" s="5"/>
      <c r="P373" s="33"/>
      <c r="Q373" s="33"/>
      <c r="R373" s="33"/>
      <c r="S373" s="33"/>
      <c r="T373" s="33"/>
    </row>
    <row r="374" spans="2:20" ht="15.75" customHeight="1">
      <c r="B374" s="5"/>
      <c r="C374" s="5"/>
      <c r="D374" s="5"/>
      <c r="E374" s="5"/>
      <c r="F374" s="5"/>
      <c r="P374" s="33"/>
      <c r="Q374" s="33"/>
      <c r="R374" s="33"/>
      <c r="S374" s="33"/>
      <c r="T374" s="33"/>
    </row>
    <row r="375" spans="2:20" ht="15.75" customHeight="1">
      <c r="B375" s="5"/>
      <c r="C375" s="5"/>
      <c r="D375" s="5"/>
      <c r="E375" s="5"/>
      <c r="F375" s="5"/>
      <c r="P375" s="33"/>
      <c r="Q375" s="33"/>
      <c r="R375" s="33"/>
      <c r="S375" s="33"/>
      <c r="T375" s="33"/>
    </row>
    <row r="376" spans="2:20" ht="15.75" customHeight="1">
      <c r="B376" s="5"/>
      <c r="C376" s="5"/>
      <c r="D376" s="5"/>
      <c r="E376" s="5"/>
      <c r="F376" s="5"/>
      <c r="P376" s="33"/>
      <c r="Q376" s="33"/>
      <c r="R376" s="33"/>
      <c r="S376" s="33"/>
      <c r="T376" s="33"/>
    </row>
    <row r="377" spans="2:20" ht="15.75" customHeight="1">
      <c r="B377" s="5"/>
      <c r="C377" s="5"/>
      <c r="D377" s="5"/>
      <c r="E377" s="5"/>
      <c r="F377" s="5"/>
      <c r="P377" s="33"/>
      <c r="Q377" s="33"/>
      <c r="R377" s="33"/>
      <c r="S377" s="33"/>
      <c r="T377" s="33"/>
    </row>
    <row r="378" spans="2:20" ht="15.75" customHeight="1">
      <c r="B378" s="5"/>
      <c r="C378" s="5"/>
      <c r="D378" s="5"/>
      <c r="E378" s="5"/>
      <c r="F378" s="5"/>
      <c r="P378" s="33"/>
      <c r="Q378" s="33"/>
      <c r="R378" s="33"/>
      <c r="S378" s="33"/>
      <c r="T378" s="33"/>
    </row>
    <row r="379" spans="2:20" ht="15.75" customHeight="1">
      <c r="B379" s="5"/>
      <c r="C379" s="5"/>
      <c r="D379" s="5"/>
      <c r="E379" s="5"/>
      <c r="F379" s="5"/>
      <c r="P379" s="33"/>
      <c r="Q379" s="33"/>
      <c r="R379" s="33"/>
      <c r="S379" s="33"/>
      <c r="T379" s="33"/>
    </row>
    <row r="380" spans="2:20" ht="15.75" customHeight="1">
      <c r="B380" s="5"/>
      <c r="C380" s="5"/>
      <c r="D380" s="5"/>
      <c r="E380" s="5"/>
      <c r="F380" s="5"/>
      <c r="P380" s="33"/>
      <c r="Q380" s="33"/>
      <c r="R380" s="33"/>
      <c r="S380" s="33"/>
      <c r="T380" s="33"/>
    </row>
    <row r="381" spans="2:20" ht="15.75" customHeight="1">
      <c r="B381" s="5"/>
      <c r="C381" s="5"/>
      <c r="D381" s="5"/>
      <c r="E381" s="5"/>
      <c r="F381" s="5"/>
      <c r="P381" s="33"/>
      <c r="Q381" s="33"/>
      <c r="R381" s="33"/>
      <c r="S381" s="33"/>
      <c r="T381" s="33"/>
    </row>
    <row r="382" spans="2:20" ht="15.75" customHeight="1">
      <c r="B382" s="5"/>
      <c r="C382" s="5"/>
      <c r="D382" s="5"/>
      <c r="E382" s="5"/>
      <c r="F382" s="5"/>
      <c r="P382" s="33"/>
      <c r="Q382" s="33"/>
      <c r="R382" s="33"/>
      <c r="S382" s="33"/>
      <c r="T382" s="33"/>
    </row>
    <row r="383" spans="2:20" ht="15.75" customHeight="1">
      <c r="B383" s="5"/>
      <c r="C383" s="5"/>
      <c r="D383" s="5"/>
      <c r="E383" s="5"/>
      <c r="F383" s="5"/>
      <c r="P383" s="33"/>
      <c r="Q383" s="33"/>
      <c r="R383" s="33"/>
      <c r="S383" s="33"/>
      <c r="T383" s="33"/>
    </row>
    <row r="384" spans="2:20" ht="15.75" customHeight="1">
      <c r="B384" s="5"/>
      <c r="C384" s="5"/>
      <c r="D384" s="5"/>
      <c r="E384" s="5"/>
      <c r="F384" s="5"/>
      <c r="P384" s="33"/>
      <c r="Q384" s="33"/>
      <c r="R384" s="33"/>
      <c r="S384" s="33"/>
      <c r="T384" s="33"/>
    </row>
    <row r="385" spans="2:20" ht="15.75" customHeight="1">
      <c r="B385" s="5"/>
      <c r="C385" s="5"/>
      <c r="D385" s="5"/>
      <c r="E385" s="5"/>
      <c r="F385" s="5"/>
      <c r="P385" s="33"/>
      <c r="Q385" s="33"/>
      <c r="R385" s="33"/>
      <c r="S385" s="33"/>
      <c r="T385" s="33"/>
    </row>
    <row r="386" spans="2:20" ht="15.75" customHeight="1">
      <c r="B386" s="5"/>
      <c r="C386" s="5"/>
      <c r="D386" s="5"/>
      <c r="E386" s="5"/>
      <c r="F386" s="5"/>
      <c r="P386" s="33"/>
      <c r="Q386" s="33"/>
      <c r="R386" s="33"/>
      <c r="S386" s="33"/>
      <c r="T386" s="33"/>
    </row>
    <row r="387" spans="2:20" ht="15.75" customHeight="1">
      <c r="B387" s="5"/>
      <c r="C387" s="5"/>
      <c r="D387" s="5"/>
      <c r="E387" s="5"/>
      <c r="F387" s="5"/>
      <c r="P387" s="33"/>
      <c r="Q387" s="33"/>
      <c r="R387" s="33"/>
      <c r="S387" s="33"/>
      <c r="T387" s="33"/>
    </row>
    <row r="388" spans="2:20" ht="15.75" customHeight="1">
      <c r="B388" s="5"/>
      <c r="C388" s="5"/>
      <c r="D388" s="5"/>
      <c r="E388" s="5"/>
      <c r="F388" s="5"/>
      <c r="P388" s="33"/>
      <c r="Q388" s="33"/>
      <c r="R388" s="33"/>
      <c r="S388" s="33"/>
      <c r="T388" s="33"/>
    </row>
    <row r="389" spans="2:20" ht="15.75" customHeight="1">
      <c r="B389" s="5"/>
      <c r="C389" s="5"/>
      <c r="D389" s="5"/>
      <c r="E389" s="5"/>
      <c r="F389" s="5"/>
      <c r="P389" s="33"/>
      <c r="Q389" s="33"/>
      <c r="R389" s="33"/>
      <c r="S389" s="33"/>
      <c r="T389" s="33"/>
    </row>
    <row r="390" spans="2:20" ht="15.75" customHeight="1">
      <c r="B390" s="5"/>
      <c r="C390" s="5"/>
      <c r="D390" s="5"/>
      <c r="E390" s="5"/>
      <c r="F390" s="5"/>
      <c r="P390" s="33"/>
      <c r="Q390" s="33"/>
      <c r="R390" s="33"/>
      <c r="S390" s="33"/>
      <c r="T390" s="33"/>
    </row>
    <row r="391" spans="2:20" ht="15.75" customHeight="1">
      <c r="B391" s="5"/>
      <c r="C391" s="5"/>
      <c r="D391" s="5"/>
      <c r="E391" s="5"/>
      <c r="F391" s="5"/>
      <c r="P391" s="33"/>
      <c r="Q391" s="33"/>
      <c r="R391" s="33"/>
      <c r="S391" s="33"/>
      <c r="T391" s="33"/>
    </row>
    <row r="392" spans="2:20" ht="15.75" customHeight="1">
      <c r="B392" s="5"/>
      <c r="C392" s="5"/>
      <c r="D392" s="5"/>
      <c r="E392" s="5"/>
      <c r="F392" s="5"/>
      <c r="P392" s="33"/>
      <c r="Q392" s="33"/>
      <c r="R392" s="33"/>
      <c r="S392" s="33"/>
      <c r="T392" s="33"/>
    </row>
    <row r="393" spans="2:20" ht="15.75" customHeight="1">
      <c r="B393" s="5"/>
      <c r="C393" s="5"/>
      <c r="D393" s="5"/>
      <c r="E393" s="5"/>
      <c r="F393" s="5"/>
      <c r="P393" s="33"/>
      <c r="Q393" s="33"/>
      <c r="R393" s="33"/>
      <c r="S393" s="33"/>
      <c r="T393" s="33"/>
    </row>
    <row r="394" spans="2:20" ht="15.75" customHeight="1">
      <c r="B394" s="5"/>
      <c r="C394" s="5"/>
      <c r="D394" s="5"/>
      <c r="E394" s="5"/>
      <c r="F394" s="5"/>
      <c r="P394" s="33"/>
      <c r="Q394" s="33"/>
      <c r="R394" s="33"/>
      <c r="S394" s="33"/>
      <c r="T394" s="33"/>
    </row>
    <row r="395" spans="2:20" ht="15.75" customHeight="1">
      <c r="B395" s="5"/>
      <c r="C395" s="5"/>
      <c r="D395" s="5"/>
      <c r="E395" s="5"/>
      <c r="F395" s="5"/>
      <c r="P395" s="33"/>
      <c r="Q395" s="33"/>
      <c r="R395" s="33"/>
      <c r="S395" s="33"/>
      <c r="T395" s="33"/>
    </row>
    <row r="396" spans="2:20" ht="15.75" customHeight="1">
      <c r="B396" s="5"/>
      <c r="C396" s="5"/>
      <c r="D396" s="5"/>
      <c r="E396" s="5"/>
      <c r="F396" s="5"/>
      <c r="P396" s="33"/>
      <c r="Q396" s="33"/>
      <c r="R396" s="33"/>
      <c r="S396" s="33"/>
      <c r="T396" s="33"/>
    </row>
    <row r="397" spans="2:20" ht="15.75" customHeight="1">
      <c r="B397" s="5"/>
      <c r="C397" s="5"/>
      <c r="D397" s="5"/>
      <c r="E397" s="5"/>
      <c r="F397" s="5"/>
      <c r="P397" s="33"/>
      <c r="Q397" s="33"/>
      <c r="R397" s="33"/>
      <c r="S397" s="33"/>
      <c r="T397" s="33"/>
    </row>
    <row r="398" spans="2:20" ht="15.75" customHeight="1">
      <c r="B398" s="5"/>
      <c r="C398" s="5"/>
      <c r="D398" s="5"/>
      <c r="E398" s="5"/>
      <c r="F398" s="5"/>
      <c r="P398" s="33"/>
      <c r="Q398" s="33"/>
      <c r="R398" s="33"/>
      <c r="S398" s="33"/>
      <c r="T398" s="33"/>
    </row>
    <row r="399" spans="2:20" ht="15.75" customHeight="1">
      <c r="B399" s="5"/>
      <c r="C399" s="5"/>
      <c r="D399" s="5"/>
      <c r="E399" s="5"/>
      <c r="F399" s="5"/>
      <c r="P399" s="33"/>
      <c r="Q399" s="33"/>
      <c r="R399" s="33"/>
      <c r="S399" s="33"/>
      <c r="T399" s="33"/>
    </row>
    <row r="400" spans="2:20" ht="15.75" customHeight="1">
      <c r="B400" s="5"/>
      <c r="C400" s="5"/>
      <c r="D400" s="5"/>
      <c r="E400" s="5"/>
      <c r="F400" s="5"/>
      <c r="P400" s="33"/>
      <c r="Q400" s="33"/>
      <c r="R400" s="33"/>
      <c r="S400" s="33"/>
      <c r="T400" s="33"/>
    </row>
    <row r="401" spans="2:20" ht="15.75" customHeight="1">
      <c r="B401" s="5"/>
      <c r="C401" s="5"/>
      <c r="D401" s="5"/>
      <c r="E401" s="5"/>
      <c r="F401" s="5"/>
      <c r="P401" s="33"/>
      <c r="Q401" s="33"/>
      <c r="R401" s="33"/>
      <c r="S401" s="33"/>
      <c r="T401" s="33"/>
    </row>
    <row r="402" spans="2:20" ht="15.75" customHeight="1">
      <c r="B402" s="5"/>
      <c r="C402" s="5"/>
      <c r="D402" s="5"/>
      <c r="E402" s="5"/>
      <c r="F402" s="5"/>
      <c r="P402" s="33"/>
      <c r="Q402" s="33"/>
      <c r="R402" s="33"/>
      <c r="S402" s="33"/>
      <c r="T402" s="33"/>
    </row>
    <row r="403" spans="2:20" ht="15.75" customHeight="1">
      <c r="B403" s="5"/>
      <c r="C403" s="5"/>
      <c r="D403" s="5"/>
      <c r="E403" s="5"/>
      <c r="F403" s="5"/>
      <c r="P403" s="33"/>
      <c r="Q403" s="33"/>
      <c r="R403" s="33"/>
      <c r="S403" s="33"/>
      <c r="T403" s="33"/>
    </row>
    <row r="404" spans="2:20" ht="15.75" customHeight="1">
      <c r="B404" s="5"/>
      <c r="C404" s="5"/>
      <c r="D404" s="5"/>
      <c r="E404" s="5"/>
      <c r="F404" s="5"/>
      <c r="P404" s="33"/>
      <c r="Q404" s="33"/>
      <c r="R404" s="33"/>
      <c r="S404" s="33"/>
      <c r="T404" s="33"/>
    </row>
    <row r="405" spans="2:20" ht="15.75" customHeight="1">
      <c r="B405" s="5"/>
      <c r="C405" s="5"/>
      <c r="D405" s="5"/>
      <c r="E405" s="5"/>
      <c r="F405" s="5"/>
      <c r="P405" s="33"/>
      <c r="Q405" s="33"/>
      <c r="R405" s="33"/>
      <c r="S405" s="33"/>
      <c r="T405" s="33"/>
    </row>
    <row r="406" spans="2:20" ht="15.75" customHeight="1">
      <c r="B406" s="5"/>
      <c r="C406" s="5"/>
      <c r="D406" s="5"/>
      <c r="E406" s="5"/>
      <c r="F406" s="5"/>
      <c r="P406" s="33"/>
      <c r="Q406" s="33"/>
      <c r="R406" s="33"/>
      <c r="S406" s="33"/>
      <c r="T406" s="33"/>
    </row>
    <row r="407" spans="2:20" ht="15.75" customHeight="1">
      <c r="B407" s="5"/>
      <c r="C407" s="5"/>
      <c r="D407" s="5"/>
      <c r="E407" s="5"/>
      <c r="F407" s="5"/>
      <c r="P407" s="33"/>
      <c r="Q407" s="33"/>
      <c r="R407" s="33"/>
      <c r="S407" s="33"/>
      <c r="T407" s="33"/>
    </row>
    <row r="408" spans="2:20" ht="15.75" customHeight="1">
      <c r="B408" s="5"/>
      <c r="C408" s="5"/>
      <c r="D408" s="5"/>
      <c r="E408" s="5"/>
      <c r="F408" s="5"/>
      <c r="P408" s="33"/>
      <c r="Q408" s="33"/>
      <c r="R408" s="33"/>
      <c r="S408" s="33"/>
      <c r="T408" s="33"/>
    </row>
    <row r="409" spans="2:20" ht="15.75" customHeight="1">
      <c r="B409" s="5"/>
      <c r="C409" s="5"/>
      <c r="D409" s="5"/>
      <c r="E409" s="5"/>
      <c r="F409" s="5"/>
      <c r="P409" s="33"/>
      <c r="Q409" s="33"/>
      <c r="R409" s="33"/>
      <c r="S409" s="33"/>
      <c r="T409" s="33"/>
    </row>
    <row r="410" spans="2:20" ht="15.75" customHeight="1">
      <c r="B410" s="5"/>
      <c r="C410" s="5"/>
      <c r="D410" s="5"/>
      <c r="E410" s="5"/>
      <c r="F410" s="5"/>
      <c r="P410" s="33"/>
      <c r="Q410" s="33"/>
      <c r="R410" s="33"/>
      <c r="S410" s="33"/>
      <c r="T410" s="33"/>
    </row>
    <row r="411" spans="2:20" ht="15.75" customHeight="1">
      <c r="B411" s="5"/>
      <c r="C411" s="5"/>
      <c r="D411" s="5"/>
      <c r="E411" s="5"/>
      <c r="F411" s="5"/>
      <c r="P411" s="33"/>
      <c r="Q411" s="33"/>
      <c r="R411" s="33"/>
      <c r="S411" s="33"/>
      <c r="T411" s="33"/>
    </row>
    <row r="412" spans="2:20" ht="15.75" customHeight="1">
      <c r="B412" s="5"/>
      <c r="C412" s="5"/>
      <c r="D412" s="5"/>
      <c r="E412" s="5"/>
      <c r="F412" s="5"/>
      <c r="P412" s="33"/>
      <c r="Q412" s="33"/>
      <c r="R412" s="33"/>
      <c r="S412" s="33"/>
      <c r="T412" s="33"/>
    </row>
    <row r="413" spans="2:20" ht="15.75" customHeight="1">
      <c r="B413" s="5"/>
      <c r="C413" s="5"/>
      <c r="D413" s="5"/>
      <c r="E413" s="5"/>
      <c r="F413" s="5"/>
      <c r="P413" s="33"/>
      <c r="Q413" s="33"/>
      <c r="R413" s="33"/>
      <c r="S413" s="33"/>
      <c r="T413" s="33"/>
    </row>
    <row r="414" spans="2:20" ht="15.75" customHeight="1">
      <c r="B414" s="5"/>
      <c r="C414" s="5"/>
      <c r="D414" s="5"/>
      <c r="E414" s="5"/>
      <c r="F414" s="5"/>
      <c r="P414" s="33"/>
      <c r="Q414" s="33"/>
      <c r="R414" s="33"/>
      <c r="S414" s="33"/>
      <c r="T414" s="33"/>
    </row>
    <row r="415" spans="2:20" ht="15.75" customHeight="1">
      <c r="B415" s="5"/>
      <c r="C415" s="5"/>
      <c r="D415" s="5"/>
      <c r="E415" s="5"/>
      <c r="F415" s="5"/>
      <c r="P415" s="33"/>
      <c r="Q415" s="33"/>
      <c r="R415" s="33"/>
      <c r="S415" s="33"/>
      <c r="T415" s="33"/>
    </row>
    <row r="416" spans="2:20" ht="15.75" customHeight="1">
      <c r="B416" s="5"/>
      <c r="C416" s="5"/>
      <c r="D416" s="5"/>
      <c r="E416" s="5"/>
      <c r="F416" s="5"/>
      <c r="P416" s="33"/>
      <c r="Q416" s="33"/>
      <c r="R416" s="33"/>
      <c r="S416" s="33"/>
      <c r="T416" s="33"/>
    </row>
    <row r="417" spans="2:20" ht="15.75" customHeight="1">
      <c r="B417" s="5"/>
      <c r="C417" s="5"/>
      <c r="D417" s="5"/>
      <c r="E417" s="5"/>
      <c r="F417" s="5"/>
      <c r="P417" s="33"/>
      <c r="Q417" s="33"/>
      <c r="R417" s="33"/>
      <c r="S417" s="33"/>
      <c r="T417" s="33"/>
    </row>
    <row r="418" spans="2:20" ht="15.75" customHeight="1">
      <c r="B418" s="5"/>
      <c r="C418" s="5"/>
      <c r="D418" s="5"/>
      <c r="E418" s="5"/>
      <c r="F418" s="5"/>
      <c r="P418" s="33"/>
      <c r="Q418" s="33"/>
      <c r="R418" s="33"/>
      <c r="S418" s="33"/>
      <c r="T418" s="33"/>
    </row>
    <row r="419" spans="2:20" ht="15.75" customHeight="1">
      <c r="B419" s="5"/>
      <c r="C419" s="5"/>
      <c r="D419" s="5"/>
      <c r="E419" s="5"/>
      <c r="F419" s="5"/>
      <c r="P419" s="33"/>
      <c r="Q419" s="33"/>
      <c r="R419" s="33"/>
      <c r="S419" s="33"/>
      <c r="T419" s="33"/>
    </row>
    <row r="420" spans="2:20" ht="15.75" customHeight="1">
      <c r="B420" s="5"/>
      <c r="C420" s="5"/>
      <c r="D420" s="5"/>
      <c r="E420" s="5"/>
      <c r="F420" s="5"/>
      <c r="P420" s="33"/>
      <c r="Q420" s="33"/>
      <c r="R420" s="33"/>
      <c r="S420" s="33"/>
      <c r="T420" s="33"/>
    </row>
    <row r="421" spans="2:20" ht="15.75" customHeight="1">
      <c r="B421" s="5"/>
      <c r="C421" s="5"/>
      <c r="D421" s="5"/>
      <c r="E421" s="5"/>
      <c r="F421" s="5"/>
      <c r="P421" s="33"/>
      <c r="Q421" s="33"/>
      <c r="R421" s="33"/>
      <c r="S421" s="33"/>
      <c r="T421" s="33"/>
    </row>
    <row r="422" spans="2:20" ht="15.75" customHeight="1">
      <c r="B422" s="5"/>
      <c r="C422" s="5"/>
      <c r="D422" s="5"/>
      <c r="E422" s="5"/>
      <c r="F422" s="5"/>
      <c r="P422" s="33"/>
      <c r="Q422" s="33"/>
      <c r="R422" s="33"/>
      <c r="S422" s="33"/>
      <c r="T422" s="33"/>
    </row>
    <row r="423" spans="2:20" ht="15.75" customHeight="1">
      <c r="B423" s="5"/>
      <c r="C423" s="5"/>
      <c r="D423" s="5"/>
      <c r="E423" s="5"/>
      <c r="F423" s="5"/>
      <c r="P423" s="33"/>
      <c r="Q423" s="33"/>
      <c r="R423" s="33"/>
      <c r="S423" s="33"/>
      <c r="T423" s="33"/>
    </row>
    <row r="424" spans="2:20" ht="15.75" customHeight="1">
      <c r="B424" s="5"/>
      <c r="C424" s="5"/>
      <c r="D424" s="5"/>
      <c r="E424" s="5"/>
      <c r="F424" s="5"/>
      <c r="P424" s="33"/>
      <c r="Q424" s="33"/>
      <c r="R424" s="33"/>
      <c r="S424" s="33"/>
      <c r="T424" s="33"/>
    </row>
    <row r="425" spans="2:20" ht="15.75" customHeight="1">
      <c r="B425" s="5"/>
      <c r="C425" s="5"/>
      <c r="D425" s="5"/>
      <c r="E425" s="5"/>
      <c r="F425" s="5"/>
      <c r="P425" s="33"/>
      <c r="Q425" s="33"/>
      <c r="R425" s="33"/>
      <c r="S425" s="33"/>
      <c r="T425" s="33"/>
    </row>
    <row r="426" spans="2:20" ht="15.75" customHeight="1">
      <c r="B426" s="5"/>
      <c r="C426" s="5"/>
      <c r="D426" s="5"/>
      <c r="E426" s="5"/>
      <c r="F426" s="5"/>
      <c r="P426" s="33"/>
      <c r="Q426" s="33"/>
      <c r="R426" s="33"/>
      <c r="S426" s="33"/>
      <c r="T426" s="33"/>
    </row>
    <row r="427" spans="2:20" ht="15.75" customHeight="1">
      <c r="B427" s="5"/>
      <c r="C427" s="5"/>
      <c r="D427" s="5"/>
      <c r="E427" s="5"/>
      <c r="F427" s="5"/>
      <c r="P427" s="33"/>
      <c r="Q427" s="33"/>
      <c r="R427" s="33"/>
      <c r="S427" s="33"/>
      <c r="T427" s="33"/>
    </row>
    <row r="428" spans="2:20" ht="15.75" customHeight="1">
      <c r="B428" s="5"/>
      <c r="C428" s="5"/>
      <c r="D428" s="5"/>
      <c r="E428" s="5"/>
      <c r="F428" s="5"/>
      <c r="P428" s="33"/>
      <c r="Q428" s="33"/>
      <c r="R428" s="33"/>
      <c r="S428" s="33"/>
      <c r="T428" s="33"/>
    </row>
    <row r="429" spans="2:20" ht="15.75" customHeight="1">
      <c r="B429" s="5"/>
      <c r="C429" s="5"/>
      <c r="D429" s="5"/>
      <c r="E429" s="5"/>
      <c r="F429" s="5"/>
      <c r="P429" s="33"/>
      <c r="Q429" s="33"/>
      <c r="R429" s="33"/>
      <c r="S429" s="33"/>
      <c r="T429" s="33"/>
    </row>
    <row r="430" spans="2:20" ht="15.75" customHeight="1">
      <c r="B430" s="5"/>
      <c r="C430" s="5"/>
      <c r="D430" s="5"/>
      <c r="E430" s="5"/>
      <c r="F430" s="5"/>
      <c r="P430" s="33"/>
      <c r="Q430" s="33"/>
      <c r="R430" s="33"/>
      <c r="S430" s="33"/>
      <c r="T430" s="33"/>
    </row>
    <row r="431" spans="2:20" ht="15.75" customHeight="1">
      <c r="B431" s="5"/>
      <c r="C431" s="5"/>
      <c r="D431" s="5"/>
      <c r="E431" s="5"/>
      <c r="F431" s="5"/>
      <c r="P431" s="33"/>
      <c r="Q431" s="33"/>
      <c r="R431" s="33"/>
      <c r="S431" s="33"/>
      <c r="T431" s="33"/>
    </row>
    <row r="432" spans="2:20" ht="15.75" customHeight="1">
      <c r="B432" s="5"/>
      <c r="C432" s="5"/>
      <c r="D432" s="5"/>
      <c r="E432" s="5"/>
      <c r="F432" s="5"/>
      <c r="P432" s="33"/>
      <c r="Q432" s="33"/>
      <c r="R432" s="33"/>
      <c r="S432" s="33"/>
      <c r="T432" s="33"/>
    </row>
    <row r="433" spans="2:20" ht="15.75" customHeight="1">
      <c r="B433" s="5"/>
      <c r="C433" s="5"/>
      <c r="D433" s="5"/>
      <c r="E433" s="5"/>
      <c r="F433" s="5"/>
      <c r="P433" s="33"/>
      <c r="Q433" s="33"/>
      <c r="R433" s="33"/>
      <c r="S433" s="33"/>
      <c r="T433" s="33"/>
    </row>
    <row r="434" spans="2:20" ht="15.75" customHeight="1">
      <c r="B434" s="5"/>
      <c r="C434" s="5"/>
      <c r="D434" s="5"/>
      <c r="E434" s="5"/>
      <c r="F434" s="5"/>
      <c r="P434" s="33"/>
      <c r="Q434" s="33"/>
      <c r="R434" s="33"/>
      <c r="S434" s="33"/>
      <c r="T434" s="33"/>
    </row>
    <row r="435" spans="2:20" ht="15.75" customHeight="1">
      <c r="B435" s="5"/>
      <c r="C435" s="5"/>
      <c r="D435" s="5"/>
      <c r="E435" s="5"/>
      <c r="F435" s="5"/>
      <c r="P435" s="33"/>
      <c r="Q435" s="33"/>
      <c r="R435" s="33"/>
      <c r="S435" s="33"/>
      <c r="T435" s="33"/>
    </row>
    <row r="436" spans="2:20" ht="15.75" customHeight="1">
      <c r="B436" s="5"/>
      <c r="C436" s="5"/>
      <c r="D436" s="5"/>
      <c r="E436" s="5"/>
      <c r="F436" s="5"/>
      <c r="P436" s="33"/>
      <c r="Q436" s="33"/>
      <c r="R436" s="33"/>
      <c r="S436" s="33"/>
      <c r="T436" s="33"/>
    </row>
    <row r="437" spans="2:20" ht="15.75" customHeight="1">
      <c r="B437" s="5"/>
      <c r="C437" s="5"/>
      <c r="D437" s="5"/>
      <c r="E437" s="5"/>
      <c r="F437" s="5"/>
      <c r="P437" s="33"/>
      <c r="Q437" s="33"/>
      <c r="R437" s="33"/>
      <c r="S437" s="33"/>
      <c r="T437" s="33"/>
    </row>
    <row r="438" spans="2:20" ht="15.75" customHeight="1">
      <c r="B438" s="5"/>
      <c r="C438" s="5"/>
      <c r="D438" s="5"/>
      <c r="E438" s="5"/>
      <c r="F438" s="5"/>
      <c r="P438" s="33"/>
      <c r="Q438" s="33"/>
      <c r="R438" s="33"/>
      <c r="S438" s="33"/>
      <c r="T438" s="33"/>
    </row>
    <row r="439" spans="2:20" ht="15.75" customHeight="1">
      <c r="B439" s="5"/>
      <c r="C439" s="5"/>
      <c r="D439" s="5"/>
      <c r="E439" s="5"/>
      <c r="F439" s="5"/>
      <c r="P439" s="33"/>
      <c r="Q439" s="33"/>
      <c r="R439" s="33"/>
      <c r="S439" s="33"/>
      <c r="T439" s="33"/>
    </row>
    <row r="440" spans="2:20" ht="15.75" customHeight="1">
      <c r="B440" s="5"/>
      <c r="C440" s="5"/>
      <c r="D440" s="5"/>
      <c r="E440" s="5"/>
      <c r="F440" s="5"/>
      <c r="P440" s="33"/>
      <c r="Q440" s="33"/>
      <c r="R440" s="33"/>
      <c r="S440" s="33"/>
      <c r="T440" s="33"/>
    </row>
    <row r="441" spans="2:20" ht="15.75" customHeight="1">
      <c r="B441" s="5"/>
      <c r="C441" s="5"/>
      <c r="D441" s="5"/>
      <c r="E441" s="5"/>
      <c r="F441" s="5"/>
      <c r="P441" s="33"/>
      <c r="Q441" s="33"/>
      <c r="R441" s="33"/>
      <c r="S441" s="33"/>
      <c r="T441" s="33"/>
    </row>
    <row r="442" spans="2:20" ht="15.75" customHeight="1">
      <c r="B442" s="5"/>
      <c r="C442" s="5"/>
      <c r="D442" s="5"/>
      <c r="E442" s="5"/>
      <c r="F442" s="5"/>
      <c r="P442" s="33"/>
      <c r="Q442" s="33"/>
      <c r="R442" s="33"/>
      <c r="S442" s="33"/>
      <c r="T442" s="33"/>
    </row>
    <row r="443" spans="2:20" ht="15.75" customHeight="1">
      <c r="B443" s="5"/>
      <c r="C443" s="5"/>
      <c r="D443" s="5"/>
      <c r="E443" s="5"/>
      <c r="F443" s="5"/>
      <c r="P443" s="33"/>
      <c r="Q443" s="33"/>
      <c r="R443" s="33"/>
      <c r="S443" s="33"/>
      <c r="T443" s="33"/>
    </row>
    <row r="444" spans="2:20" ht="15.75" customHeight="1">
      <c r="B444" s="5"/>
      <c r="C444" s="5"/>
      <c r="D444" s="5"/>
      <c r="E444" s="5"/>
      <c r="F444" s="5"/>
      <c r="P444" s="33"/>
      <c r="Q444" s="33"/>
      <c r="R444" s="33"/>
      <c r="S444" s="33"/>
      <c r="T444" s="33"/>
    </row>
    <row r="445" spans="2:20" ht="15.75" customHeight="1">
      <c r="B445" s="5"/>
      <c r="C445" s="5"/>
      <c r="D445" s="5"/>
      <c r="E445" s="5"/>
      <c r="F445" s="5"/>
      <c r="P445" s="33"/>
      <c r="Q445" s="33"/>
      <c r="R445" s="33"/>
      <c r="S445" s="33"/>
      <c r="T445" s="33"/>
    </row>
    <row r="446" spans="2:20" ht="15.75" customHeight="1">
      <c r="B446" s="5"/>
      <c r="C446" s="5"/>
      <c r="D446" s="5"/>
      <c r="E446" s="5"/>
      <c r="F446" s="5"/>
      <c r="P446" s="33"/>
      <c r="Q446" s="33"/>
      <c r="R446" s="33"/>
      <c r="S446" s="33"/>
      <c r="T446" s="33"/>
    </row>
    <row r="447" spans="2:20" ht="15.75" customHeight="1">
      <c r="B447" s="5"/>
      <c r="C447" s="5"/>
      <c r="D447" s="5"/>
      <c r="E447" s="5"/>
      <c r="F447" s="5"/>
      <c r="P447" s="33"/>
      <c r="Q447" s="33"/>
      <c r="R447" s="33"/>
      <c r="S447" s="33"/>
      <c r="T447" s="33"/>
    </row>
    <row r="448" spans="2:20" ht="15.75" customHeight="1">
      <c r="B448" s="5"/>
      <c r="C448" s="5"/>
      <c r="D448" s="5"/>
      <c r="E448" s="5"/>
      <c r="F448" s="5"/>
      <c r="P448" s="33"/>
      <c r="Q448" s="33"/>
      <c r="R448" s="33"/>
      <c r="S448" s="33"/>
      <c r="T448" s="33"/>
    </row>
    <row r="449" spans="2:20" ht="15.75" customHeight="1">
      <c r="B449" s="5"/>
      <c r="C449" s="5"/>
      <c r="D449" s="5"/>
      <c r="E449" s="5"/>
      <c r="F449" s="5"/>
      <c r="P449" s="33"/>
      <c r="Q449" s="33"/>
      <c r="R449" s="33"/>
      <c r="S449" s="33"/>
      <c r="T449" s="33"/>
    </row>
    <row r="450" spans="2:20" ht="15.75" customHeight="1">
      <c r="B450" s="5"/>
      <c r="C450" s="5"/>
      <c r="D450" s="5"/>
      <c r="E450" s="5"/>
      <c r="F450" s="5"/>
      <c r="P450" s="33"/>
      <c r="Q450" s="33"/>
      <c r="R450" s="33"/>
      <c r="S450" s="33"/>
      <c r="T450" s="33"/>
    </row>
    <row r="451" spans="2:20" ht="15.75" customHeight="1">
      <c r="B451" s="5"/>
      <c r="C451" s="5"/>
      <c r="D451" s="5"/>
      <c r="E451" s="5"/>
      <c r="F451" s="5"/>
      <c r="P451" s="33"/>
      <c r="Q451" s="33"/>
      <c r="R451" s="33"/>
      <c r="S451" s="33"/>
      <c r="T451" s="33"/>
    </row>
    <row r="452" spans="2:20" ht="15.75" customHeight="1">
      <c r="B452" s="5"/>
      <c r="C452" s="5"/>
      <c r="D452" s="5"/>
      <c r="E452" s="5"/>
      <c r="F452" s="5"/>
      <c r="P452" s="33"/>
      <c r="Q452" s="33"/>
      <c r="R452" s="33"/>
      <c r="S452" s="33"/>
      <c r="T452" s="33"/>
    </row>
    <row r="453" spans="2:20" ht="15.75" customHeight="1">
      <c r="B453" s="5"/>
      <c r="C453" s="5"/>
      <c r="D453" s="5"/>
      <c r="E453" s="5"/>
      <c r="F453" s="5"/>
      <c r="P453" s="33"/>
      <c r="Q453" s="33"/>
      <c r="R453" s="33"/>
      <c r="S453" s="33"/>
      <c r="T453" s="33"/>
    </row>
    <row r="454" spans="2:20" ht="15.75" customHeight="1">
      <c r="B454" s="5"/>
      <c r="C454" s="5"/>
      <c r="D454" s="5"/>
      <c r="E454" s="5"/>
      <c r="F454" s="5"/>
      <c r="P454" s="33"/>
      <c r="Q454" s="33"/>
      <c r="R454" s="33"/>
      <c r="S454" s="33"/>
      <c r="T454" s="33"/>
    </row>
    <row r="455" spans="2:20" ht="15.75" customHeight="1">
      <c r="B455" s="5"/>
      <c r="C455" s="5"/>
      <c r="D455" s="5"/>
      <c r="E455" s="5"/>
      <c r="F455" s="5"/>
      <c r="P455" s="33"/>
      <c r="Q455" s="33"/>
      <c r="R455" s="33"/>
      <c r="S455" s="33"/>
      <c r="T455" s="33"/>
    </row>
    <row r="456" spans="2:20" ht="15.75" customHeight="1">
      <c r="B456" s="5"/>
      <c r="C456" s="5"/>
      <c r="D456" s="5"/>
      <c r="E456" s="5"/>
      <c r="F456" s="5"/>
      <c r="P456" s="33"/>
      <c r="Q456" s="33"/>
      <c r="R456" s="33"/>
      <c r="S456" s="33"/>
      <c r="T456" s="33"/>
    </row>
    <row r="457" spans="2:20" ht="15.75" customHeight="1">
      <c r="B457" s="5"/>
      <c r="C457" s="5"/>
      <c r="D457" s="5"/>
      <c r="E457" s="5"/>
      <c r="F457" s="5"/>
      <c r="P457" s="33"/>
      <c r="Q457" s="33"/>
      <c r="R457" s="33"/>
      <c r="S457" s="33"/>
      <c r="T457" s="33"/>
    </row>
    <row r="458" spans="2:20" ht="15.75" customHeight="1">
      <c r="B458" s="5"/>
      <c r="C458" s="5"/>
      <c r="D458" s="5"/>
      <c r="E458" s="5"/>
      <c r="F458" s="5"/>
      <c r="P458" s="33"/>
      <c r="Q458" s="33"/>
      <c r="R458" s="33"/>
      <c r="S458" s="33"/>
      <c r="T458" s="33"/>
    </row>
    <row r="459" spans="2:20" ht="15.75" customHeight="1">
      <c r="B459" s="5"/>
      <c r="C459" s="5"/>
      <c r="D459" s="5"/>
      <c r="E459" s="5"/>
      <c r="F459" s="5"/>
      <c r="P459" s="33"/>
      <c r="Q459" s="33"/>
      <c r="R459" s="33"/>
      <c r="S459" s="33"/>
      <c r="T459" s="33"/>
    </row>
    <row r="460" spans="2:20" ht="15.75" customHeight="1">
      <c r="B460" s="5"/>
      <c r="C460" s="5"/>
      <c r="D460" s="5"/>
      <c r="E460" s="5"/>
      <c r="F460" s="5"/>
      <c r="P460" s="33"/>
      <c r="Q460" s="33"/>
      <c r="R460" s="33"/>
      <c r="S460" s="33"/>
      <c r="T460" s="33"/>
    </row>
    <row r="461" spans="2:20" ht="15.75" customHeight="1">
      <c r="B461" s="5"/>
      <c r="C461" s="5"/>
      <c r="D461" s="5"/>
      <c r="E461" s="5"/>
      <c r="F461" s="5"/>
      <c r="P461" s="33"/>
      <c r="Q461" s="33"/>
      <c r="R461" s="33"/>
      <c r="S461" s="33"/>
      <c r="T461" s="33"/>
    </row>
    <row r="462" spans="2:20" ht="15.75" customHeight="1">
      <c r="B462" s="5"/>
      <c r="C462" s="5"/>
      <c r="D462" s="5"/>
      <c r="E462" s="5"/>
      <c r="F462" s="5"/>
      <c r="P462" s="33"/>
      <c r="Q462" s="33"/>
      <c r="R462" s="33"/>
      <c r="S462" s="33"/>
      <c r="T462" s="33"/>
    </row>
    <row r="463" spans="2:20" ht="15.75" customHeight="1">
      <c r="B463" s="5"/>
      <c r="C463" s="5"/>
      <c r="D463" s="5"/>
      <c r="E463" s="5"/>
      <c r="F463" s="5"/>
      <c r="P463" s="33"/>
      <c r="Q463" s="33"/>
      <c r="R463" s="33"/>
      <c r="S463" s="33"/>
      <c r="T463" s="33"/>
    </row>
    <row r="464" spans="2:20" ht="15.75" customHeight="1">
      <c r="B464" s="5"/>
      <c r="C464" s="5"/>
      <c r="D464" s="5"/>
      <c r="E464" s="5"/>
      <c r="F464" s="5"/>
      <c r="P464" s="33"/>
      <c r="Q464" s="33"/>
      <c r="R464" s="33"/>
      <c r="S464" s="33"/>
      <c r="T464" s="33"/>
    </row>
    <row r="465" spans="2:20" ht="15.75" customHeight="1">
      <c r="B465" s="5"/>
      <c r="C465" s="5"/>
      <c r="D465" s="5"/>
      <c r="E465" s="5"/>
      <c r="F465" s="5"/>
      <c r="P465" s="33"/>
      <c r="Q465" s="33"/>
      <c r="R465" s="33"/>
      <c r="S465" s="33"/>
      <c r="T465" s="33"/>
    </row>
    <row r="466" spans="2:20" ht="15.75" customHeight="1">
      <c r="B466" s="5"/>
      <c r="C466" s="5"/>
      <c r="D466" s="5"/>
      <c r="E466" s="5"/>
      <c r="F466" s="5"/>
      <c r="P466" s="33"/>
      <c r="Q466" s="33"/>
      <c r="R466" s="33"/>
      <c r="S466" s="33"/>
      <c r="T466" s="33"/>
    </row>
    <row r="467" spans="2:20" ht="15.75" customHeight="1">
      <c r="B467" s="5"/>
      <c r="C467" s="5"/>
      <c r="D467" s="5"/>
      <c r="E467" s="5"/>
      <c r="F467" s="5"/>
      <c r="P467" s="33"/>
      <c r="Q467" s="33"/>
      <c r="R467" s="33"/>
      <c r="S467" s="33"/>
      <c r="T467" s="33"/>
    </row>
    <row r="468" spans="2:20" ht="15.75" customHeight="1">
      <c r="B468" s="5"/>
      <c r="C468" s="5"/>
      <c r="D468" s="5"/>
      <c r="E468" s="5"/>
      <c r="F468" s="5"/>
      <c r="P468" s="33"/>
      <c r="Q468" s="33"/>
      <c r="R468" s="33"/>
      <c r="S468" s="33"/>
      <c r="T468" s="33"/>
    </row>
    <row r="469" spans="2:20" ht="15.75" customHeight="1">
      <c r="B469" s="5"/>
      <c r="C469" s="5"/>
      <c r="D469" s="5"/>
      <c r="E469" s="5"/>
      <c r="F469" s="5"/>
      <c r="P469" s="33"/>
      <c r="Q469" s="33"/>
      <c r="R469" s="33"/>
      <c r="S469" s="33"/>
      <c r="T469" s="33"/>
    </row>
    <row r="470" spans="2:20" ht="15.75" customHeight="1">
      <c r="B470" s="5"/>
      <c r="C470" s="5"/>
      <c r="D470" s="5"/>
      <c r="E470" s="5"/>
      <c r="F470" s="5"/>
      <c r="P470" s="33"/>
      <c r="Q470" s="33"/>
      <c r="R470" s="33"/>
      <c r="S470" s="33"/>
      <c r="T470" s="33"/>
    </row>
    <row r="471" spans="2:20" ht="15.75" customHeight="1">
      <c r="B471" s="5"/>
      <c r="C471" s="5"/>
      <c r="D471" s="5"/>
      <c r="E471" s="5"/>
      <c r="F471" s="5"/>
      <c r="P471" s="33"/>
      <c r="Q471" s="33"/>
      <c r="R471" s="33"/>
      <c r="S471" s="33"/>
      <c r="T471" s="33"/>
    </row>
    <row r="472" spans="2:20" ht="15.75" customHeight="1">
      <c r="B472" s="5"/>
      <c r="C472" s="5"/>
      <c r="D472" s="5"/>
      <c r="E472" s="5"/>
      <c r="F472" s="5"/>
      <c r="P472" s="33"/>
      <c r="Q472" s="33"/>
      <c r="R472" s="33"/>
      <c r="S472" s="33"/>
      <c r="T472" s="33"/>
    </row>
    <row r="473" spans="2:20" ht="15.75" customHeight="1">
      <c r="B473" s="5"/>
      <c r="C473" s="5"/>
      <c r="D473" s="5"/>
      <c r="E473" s="5"/>
      <c r="F473" s="5"/>
      <c r="P473" s="33"/>
      <c r="Q473" s="33"/>
      <c r="R473" s="33"/>
      <c r="S473" s="33"/>
      <c r="T473" s="33"/>
    </row>
    <row r="474" spans="2:20" ht="15.75" customHeight="1">
      <c r="B474" s="5"/>
      <c r="C474" s="5"/>
      <c r="D474" s="5"/>
      <c r="E474" s="5"/>
      <c r="F474" s="5"/>
      <c r="P474" s="33"/>
      <c r="Q474" s="33"/>
      <c r="R474" s="33"/>
      <c r="S474" s="33"/>
      <c r="T474" s="33"/>
    </row>
    <row r="475" spans="2:20" ht="15.75" customHeight="1">
      <c r="B475" s="5"/>
      <c r="C475" s="5"/>
      <c r="D475" s="5"/>
      <c r="E475" s="5"/>
      <c r="F475" s="5"/>
      <c r="P475" s="33"/>
      <c r="Q475" s="33"/>
      <c r="R475" s="33"/>
      <c r="S475" s="33"/>
      <c r="T475" s="33"/>
    </row>
    <row r="476" spans="2:20" ht="15.75" customHeight="1">
      <c r="B476" s="5"/>
      <c r="C476" s="5"/>
      <c r="D476" s="5"/>
      <c r="E476" s="5"/>
      <c r="F476" s="5"/>
      <c r="P476" s="33"/>
      <c r="Q476" s="33"/>
      <c r="R476" s="33"/>
      <c r="S476" s="33"/>
      <c r="T476" s="33"/>
    </row>
    <row r="477" spans="2:20" ht="15.75" customHeight="1">
      <c r="B477" s="5"/>
      <c r="C477" s="5"/>
      <c r="D477" s="5"/>
      <c r="E477" s="5"/>
      <c r="F477" s="5"/>
      <c r="P477" s="33"/>
      <c r="Q477" s="33"/>
      <c r="R477" s="33"/>
      <c r="S477" s="33"/>
      <c r="T477" s="33"/>
    </row>
    <row r="478" spans="2:20" ht="15.75" customHeight="1">
      <c r="B478" s="5"/>
      <c r="C478" s="5"/>
      <c r="D478" s="5"/>
      <c r="E478" s="5"/>
      <c r="F478" s="5"/>
      <c r="P478" s="33"/>
      <c r="Q478" s="33"/>
      <c r="R478" s="33"/>
      <c r="S478" s="33"/>
      <c r="T478" s="33"/>
    </row>
    <row r="479" spans="2:20" ht="15.75" customHeight="1">
      <c r="B479" s="5"/>
      <c r="C479" s="5"/>
      <c r="D479" s="5"/>
      <c r="E479" s="5"/>
      <c r="F479" s="5"/>
      <c r="P479" s="33"/>
      <c r="Q479" s="33"/>
      <c r="R479" s="33"/>
      <c r="S479" s="33"/>
      <c r="T479" s="33"/>
    </row>
    <row r="480" spans="2:20" ht="15.75" customHeight="1">
      <c r="B480" s="5"/>
      <c r="C480" s="5"/>
      <c r="D480" s="5"/>
      <c r="E480" s="5"/>
      <c r="F480" s="5"/>
      <c r="P480" s="33"/>
      <c r="Q480" s="33"/>
      <c r="R480" s="33"/>
      <c r="S480" s="33"/>
      <c r="T480" s="33"/>
    </row>
    <row r="481" spans="2:20" ht="15.75" customHeight="1">
      <c r="B481" s="5"/>
      <c r="C481" s="5"/>
      <c r="D481" s="5"/>
      <c r="E481" s="5"/>
      <c r="F481" s="5"/>
      <c r="P481" s="33"/>
      <c r="Q481" s="33"/>
      <c r="R481" s="33"/>
      <c r="S481" s="33"/>
      <c r="T481" s="33"/>
    </row>
    <row r="482" spans="2:20" ht="15.75" customHeight="1">
      <c r="B482" s="5"/>
      <c r="C482" s="5"/>
      <c r="D482" s="5"/>
      <c r="E482" s="5"/>
      <c r="F482" s="5"/>
      <c r="P482" s="33"/>
      <c r="Q482" s="33"/>
      <c r="R482" s="33"/>
      <c r="S482" s="33"/>
      <c r="T482" s="33"/>
    </row>
    <row r="483" spans="2:20" ht="15.75" customHeight="1">
      <c r="B483" s="5"/>
      <c r="C483" s="5"/>
      <c r="D483" s="5"/>
      <c r="E483" s="5"/>
      <c r="F483" s="5"/>
      <c r="P483" s="33"/>
      <c r="Q483" s="33"/>
      <c r="R483" s="33"/>
      <c r="S483" s="33"/>
      <c r="T483" s="33"/>
    </row>
    <row r="484" spans="2:20" ht="15.75" customHeight="1">
      <c r="B484" s="5"/>
      <c r="C484" s="5"/>
      <c r="D484" s="5"/>
      <c r="E484" s="5"/>
      <c r="F484" s="5"/>
      <c r="P484" s="33"/>
      <c r="Q484" s="33"/>
      <c r="R484" s="33"/>
      <c r="S484" s="33"/>
      <c r="T484" s="33"/>
    </row>
    <row r="485" spans="2:20" ht="15.75" customHeight="1">
      <c r="B485" s="5"/>
      <c r="C485" s="5"/>
      <c r="D485" s="5"/>
      <c r="E485" s="5"/>
      <c r="F485" s="5"/>
      <c r="P485" s="33"/>
      <c r="Q485" s="33"/>
      <c r="R485" s="33"/>
      <c r="S485" s="33"/>
      <c r="T485" s="33"/>
    </row>
    <row r="486" spans="2:20" ht="15.75" customHeight="1">
      <c r="B486" s="5"/>
      <c r="C486" s="5"/>
      <c r="D486" s="5"/>
      <c r="E486" s="5"/>
      <c r="F486" s="5"/>
      <c r="P486" s="33"/>
      <c r="Q486" s="33"/>
      <c r="R486" s="33"/>
      <c r="S486" s="33"/>
      <c r="T486" s="33"/>
    </row>
    <row r="487" spans="2:20" ht="15.75" customHeight="1">
      <c r="B487" s="5"/>
      <c r="C487" s="5"/>
      <c r="D487" s="5"/>
      <c r="E487" s="5"/>
      <c r="F487" s="5"/>
      <c r="P487" s="33"/>
      <c r="Q487" s="33"/>
      <c r="R487" s="33"/>
      <c r="S487" s="33"/>
      <c r="T487" s="33"/>
    </row>
    <row r="488" spans="2:20" ht="15.75" customHeight="1">
      <c r="B488" s="5"/>
      <c r="C488" s="5"/>
      <c r="D488" s="5"/>
      <c r="E488" s="5"/>
      <c r="F488" s="5"/>
      <c r="P488" s="33"/>
      <c r="Q488" s="33"/>
      <c r="R488" s="33"/>
      <c r="S488" s="33"/>
      <c r="T488" s="33"/>
    </row>
    <row r="489" spans="2:20" ht="15.75" customHeight="1">
      <c r="B489" s="5"/>
      <c r="C489" s="5"/>
      <c r="D489" s="5"/>
      <c r="E489" s="5"/>
      <c r="F489" s="5"/>
      <c r="P489" s="33"/>
      <c r="Q489" s="33"/>
      <c r="R489" s="33"/>
      <c r="S489" s="33"/>
      <c r="T489" s="33"/>
    </row>
    <row r="490" spans="2:20" ht="15.75" customHeight="1">
      <c r="B490" s="5"/>
      <c r="C490" s="5"/>
      <c r="D490" s="5"/>
      <c r="E490" s="5"/>
      <c r="F490" s="5"/>
      <c r="P490" s="33"/>
      <c r="Q490" s="33"/>
      <c r="R490" s="33"/>
      <c r="S490" s="33"/>
      <c r="T490" s="33"/>
    </row>
    <row r="491" spans="2:20" ht="15.75" customHeight="1">
      <c r="B491" s="5"/>
      <c r="C491" s="5"/>
      <c r="D491" s="5"/>
      <c r="E491" s="5"/>
      <c r="F491" s="5"/>
      <c r="P491" s="33"/>
      <c r="Q491" s="33"/>
      <c r="R491" s="33"/>
      <c r="S491" s="33"/>
      <c r="T491" s="33"/>
    </row>
    <row r="492" spans="2:20" ht="15.75" customHeight="1">
      <c r="B492" s="5"/>
      <c r="C492" s="5"/>
      <c r="D492" s="5"/>
      <c r="E492" s="5"/>
      <c r="F492" s="5"/>
      <c r="P492" s="33"/>
      <c r="Q492" s="33"/>
      <c r="R492" s="33"/>
      <c r="S492" s="33"/>
      <c r="T492" s="33"/>
    </row>
    <row r="493" spans="2:20" ht="15.75" customHeight="1">
      <c r="B493" s="5"/>
      <c r="C493" s="5"/>
      <c r="D493" s="5"/>
      <c r="E493" s="5"/>
      <c r="F493" s="5"/>
      <c r="P493" s="33"/>
      <c r="Q493" s="33"/>
      <c r="R493" s="33"/>
      <c r="S493" s="33"/>
      <c r="T493" s="33"/>
    </row>
    <row r="494" spans="2:20" ht="15.75" customHeight="1">
      <c r="B494" s="5"/>
      <c r="C494" s="5"/>
      <c r="D494" s="5"/>
      <c r="E494" s="5"/>
      <c r="F494" s="5"/>
      <c r="P494" s="33"/>
      <c r="Q494" s="33"/>
      <c r="R494" s="33"/>
      <c r="S494" s="33"/>
      <c r="T494" s="33"/>
    </row>
    <row r="495" spans="2:20" ht="15.75" customHeight="1">
      <c r="B495" s="5"/>
      <c r="C495" s="5"/>
      <c r="D495" s="5"/>
      <c r="E495" s="5"/>
      <c r="F495" s="5"/>
      <c r="P495" s="33"/>
      <c r="Q495" s="33"/>
      <c r="R495" s="33"/>
      <c r="S495" s="33"/>
      <c r="T495" s="33"/>
    </row>
    <row r="496" spans="2:20" ht="15.75" customHeight="1">
      <c r="B496" s="5"/>
      <c r="C496" s="5"/>
      <c r="D496" s="5"/>
      <c r="E496" s="5"/>
      <c r="F496" s="5"/>
      <c r="P496" s="33"/>
      <c r="Q496" s="33"/>
      <c r="R496" s="33"/>
      <c r="S496" s="33"/>
      <c r="T496" s="33"/>
    </row>
    <row r="497" spans="2:20" ht="15.75" customHeight="1">
      <c r="B497" s="5"/>
      <c r="C497" s="5"/>
      <c r="D497" s="5"/>
      <c r="E497" s="5"/>
      <c r="F497" s="5"/>
      <c r="P497" s="33"/>
      <c r="Q497" s="33"/>
      <c r="R497" s="33"/>
      <c r="S497" s="33"/>
      <c r="T497" s="33"/>
    </row>
    <row r="498" spans="2:20" ht="15.75" customHeight="1">
      <c r="B498" s="5"/>
      <c r="C498" s="5"/>
      <c r="D498" s="5"/>
      <c r="E498" s="5"/>
      <c r="F498" s="5"/>
      <c r="P498" s="33"/>
      <c r="Q498" s="33"/>
      <c r="R498" s="33"/>
      <c r="S498" s="33"/>
      <c r="T498" s="33"/>
    </row>
    <row r="499" spans="2:20" ht="15.75" customHeight="1">
      <c r="B499" s="5"/>
      <c r="C499" s="5"/>
      <c r="D499" s="5"/>
      <c r="E499" s="5"/>
      <c r="F499" s="5"/>
      <c r="P499" s="33"/>
      <c r="Q499" s="33"/>
      <c r="R499" s="33"/>
      <c r="S499" s="33"/>
      <c r="T499" s="33"/>
    </row>
    <row r="500" spans="2:20" ht="15.75" customHeight="1">
      <c r="B500" s="5"/>
      <c r="C500" s="5"/>
      <c r="D500" s="5"/>
      <c r="E500" s="5"/>
      <c r="F500" s="5"/>
      <c r="P500" s="33"/>
      <c r="Q500" s="33"/>
      <c r="R500" s="33"/>
      <c r="S500" s="33"/>
      <c r="T500" s="33"/>
    </row>
    <row r="501" spans="2:20" ht="15.75" customHeight="1">
      <c r="B501" s="5"/>
      <c r="C501" s="5"/>
      <c r="D501" s="5"/>
      <c r="E501" s="5"/>
      <c r="F501" s="5"/>
      <c r="P501" s="33"/>
      <c r="Q501" s="33"/>
      <c r="R501" s="33"/>
      <c r="S501" s="33"/>
      <c r="T501" s="33"/>
    </row>
    <row r="502" spans="2:20" ht="15.75" customHeight="1">
      <c r="B502" s="5"/>
      <c r="C502" s="5"/>
      <c r="D502" s="5"/>
      <c r="E502" s="5"/>
      <c r="F502" s="5"/>
      <c r="P502" s="33"/>
      <c r="Q502" s="33"/>
      <c r="R502" s="33"/>
      <c r="S502" s="33"/>
      <c r="T502" s="33"/>
    </row>
    <row r="503" spans="2:20" ht="15.75" customHeight="1">
      <c r="B503" s="5"/>
      <c r="C503" s="5"/>
      <c r="D503" s="5"/>
      <c r="E503" s="5"/>
      <c r="F503" s="5"/>
      <c r="P503" s="33"/>
      <c r="Q503" s="33"/>
      <c r="R503" s="33"/>
      <c r="S503" s="33"/>
      <c r="T503" s="33"/>
    </row>
    <row r="504" spans="2:20" ht="15.75" customHeight="1">
      <c r="B504" s="5"/>
      <c r="C504" s="5"/>
      <c r="D504" s="5"/>
      <c r="E504" s="5"/>
      <c r="F504" s="5"/>
      <c r="P504" s="33"/>
      <c r="Q504" s="33"/>
      <c r="R504" s="33"/>
      <c r="S504" s="33"/>
      <c r="T504" s="33"/>
    </row>
    <row r="505" spans="2:20" ht="15.75" customHeight="1">
      <c r="B505" s="5"/>
      <c r="C505" s="5"/>
      <c r="D505" s="5"/>
      <c r="E505" s="5"/>
      <c r="F505" s="5"/>
      <c r="P505" s="33"/>
      <c r="Q505" s="33"/>
      <c r="R505" s="33"/>
      <c r="S505" s="33"/>
      <c r="T505" s="33"/>
    </row>
    <row r="506" spans="2:20" ht="15.75" customHeight="1">
      <c r="B506" s="5"/>
      <c r="C506" s="5"/>
      <c r="D506" s="5"/>
      <c r="E506" s="5"/>
      <c r="F506" s="5"/>
      <c r="P506" s="33"/>
      <c r="Q506" s="33"/>
      <c r="R506" s="33"/>
      <c r="S506" s="33"/>
      <c r="T506" s="33"/>
    </row>
    <row r="507" spans="2:20" ht="15.75" customHeight="1">
      <c r="B507" s="5"/>
      <c r="C507" s="5"/>
      <c r="D507" s="5"/>
      <c r="E507" s="5"/>
      <c r="F507" s="5"/>
      <c r="P507" s="33"/>
      <c r="Q507" s="33"/>
      <c r="R507" s="33"/>
      <c r="S507" s="33"/>
      <c r="T507" s="33"/>
    </row>
    <row r="508" spans="2:20" ht="15.75" customHeight="1">
      <c r="B508" s="5"/>
      <c r="C508" s="5"/>
      <c r="D508" s="5"/>
      <c r="E508" s="5"/>
      <c r="F508" s="5"/>
      <c r="P508" s="33"/>
      <c r="Q508" s="33"/>
      <c r="R508" s="33"/>
      <c r="S508" s="33"/>
      <c r="T508" s="33"/>
    </row>
    <row r="509" spans="2:20" ht="15.75" customHeight="1">
      <c r="B509" s="5"/>
      <c r="C509" s="5"/>
      <c r="D509" s="5"/>
      <c r="E509" s="5"/>
      <c r="F509" s="5"/>
      <c r="P509" s="33"/>
      <c r="Q509" s="33"/>
      <c r="R509" s="33"/>
      <c r="S509" s="33"/>
      <c r="T509" s="33"/>
    </row>
    <row r="510" spans="2:20" ht="15.75" customHeight="1">
      <c r="B510" s="5"/>
      <c r="C510" s="5"/>
      <c r="D510" s="5"/>
      <c r="E510" s="5"/>
      <c r="F510" s="5"/>
      <c r="P510" s="33"/>
      <c r="Q510" s="33"/>
      <c r="R510" s="33"/>
      <c r="S510" s="33"/>
      <c r="T510" s="33"/>
    </row>
    <row r="511" spans="2:20" ht="15.75" customHeight="1">
      <c r="B511" s="5"/>
      <c r="C511" s="5"/>
      <c r="D511" s="5"/>
      <c r="E511" s="5"/>
      <c r="F511" s="5"/>
      <c r="P511" s="33"/>
      <c r="Q511" s="33"/>
      <c r="R511" s="33"/>
      <c r="S511" s="33"/>
      <c r="T511" s="33"/>
    </row>
    <row r="512" spans="2:20" ht="15.75" customHeight="1">
      <c r="B512" s="5"/>
      <c r="C512" s="5"/>
      <c r="D512" s="5"/>
      <c r="E512" s="5"/>
      <c r="F512" s="5"/>
      <c r="P512" s="33"/>
      <c r="Q512" s="33"/>
      <c r="R512" s="33"/>
      <c r="S512" s="33"/>
      <c r="T512" s="33"/>
    </row>
    <row r="513" spans="2:20" ht="15.75" customHeight="1">
      <c r="B513" s="5"/>
      <c r="C513" s="5"/>
      <c r="D513" s="5"/>
      <c r="E513" s="5"/>
      <c r="F513" s="5"/>
      <c r="P513" s="33"/>
      <c r="Q513" s="33"/>
      <c r="R513" s="33"/>
      <c r="S513" s="33"/>
      <c r="T513" s="33"/>
    </row>
    <row r="514" spans="2:20" ht="15.75" customHeight="1">
      <c r="B514" s="5"/>
      <c r="C514" s="5"/>
      <c r="D514" s="5"/>
      <c r="E514" s="5"/>
      <c r="F514" s="5"/>
      <c r="P514" s="33"/>
      <c r="Q514" s="33"/>
      <c r="R514" s="33"/>
      <c r="S514" s="33"/>
      <c r="T514" s="33"/>
    </row>
    <row r="515" spans="2:20" ht="15.75" customHeight="1">
      <c r="B515" s="5"/>
      <c r="C515" s="5"/>
      <c r="D515" s="5"/>
      <c r="E515" s="5"/>
      <c r="F515" s="5"/>
      <c r="P515" s="33"/>
      <c r="Q515" s="33"/>
      <c r="R515" s="33"/>
      <c r="S515" s="33"/>
      <c r="T515" s="33"/>
    </row>
    <row r="516" spans="2:20" ht="15.75" customHeight="1">
      <c r="B516" s="5"/>
      <c r="C516" s="5"/>
      <c r="D516" s="5"/>
      <c r="E516" s="5"/>
      <c r="F516" s="5"/>
      <c r="P516" s="33"/>
      <c r="Q516" s="33"/>
      <c r="R516" s="33"/>
      <c r="S516" s="33"/>
      <c r="T516" s="33"/>
    </row>
    <row r="517" spans="2:20" ht="15.75" customHeight="1">
      <c r="B517" s="5"/>
      <c r="C517" s="5"/>
      <c r="D517" s="5"/>
      <c r="E517" s="5"/>
      <c r="F517" s="5"/>
      <c r="P517" s="33"/>
      <c r="Q517" s="33"/>
      <c r="R517" s="33"/>
      <c r="S517" s="33"/>
      <c r="T517" s="33"/>
    </row>
    <row r="518" spans="2:20" ht="15.75" customHeight="1">
      <c r="B518" s="5"/>
      <c r="C518" s="5"/>
      <c r="D518" s="5"/>
      <c r="E518" s="5"/>
      <c r="F518" s="5"/>
      <c r="P518" s="33"/>
      <c r="Q518" s="33"/>
      <c r="R518" s="33"/>
      <c r="S518" s="33"/>
      <c r="T518" s="33"/>
    </row>
    <row r="519" spans="2:20" ht="15.75" customHeight="1">
      <c r="B519" s="5"/>
      <c r="C519" s="5"/>
      <c r="D519" s="5"/>
      <c r="E519" s="5"/>
      <c r="F519" s="5"/>
      <c r="P519" s="33"/>
      <c r="Q519" s="33"/>
      <c r="R519" s="33"/>
      <c r="S519" s="33"/>
      <c r="T519" s="33"/>
    </row>
    <row r="520" spans="2:20" ht="15.75" customHeight="1">
      <c r="B520" s="5"/>
      <c r="C520" s="5"/>
      <c r="D520" s="5"/>
      <c r="E520" s="5"/>
      <c r="F520" s="5"/>
      <c r="P520" s="33"/>
      <c r="Q520" s="33"/>
      <c r="R520" s="33"/>
      <c r="S520" s="33"/>
      <c r="T520" s="33"/>
    </row>
    <row r="521" spans="2:20" ht="15.75" customHeight="1">
      <c r="B521" s="5"/>
      <c r="C521" s="5"/>
      <c r="D521" s="5"/>
      <c r="E521" s="5"/>
      <c r="F521" s="5"/>
      <c r="P521" s="33"/>
      <c r="Q521" s="33"/>
      <c r="R521" s="33"/>
      <c r="S521" s="33"/>
      <c r="T521" s="33"/>
    </row>
    <row r="522" spans="2:20" ht="15.75" customHeight="1">
      <c r="B522" s="5"/>
      <c r="C522" s="5"/>
      <c r="D522" s="5"/>
      <c r="E522" s="5"/>
      <c r="F522" s="5"/>
      <c r="P522" s="33"/>
      <c r="Q522" s="33"/>
      <c r="R522" s="33"/>
      <c r="S522" s="33"/>
      <c r="T522" s="33"/>
    </row>
    <row r="523" spans="2:20" ht="15.75" customHeight="1">
      <c r="B523" s="5"/>
      <c r="C523" s="5"/>
      <c r="D523" s="5"/>
      <c r="E523" s="5"/>
      <c r="F523" s="5"/>
      <c r="P523" s="33"/>
      <c r="Q523" s="33"/>
      <c r="R523" s="33"/>
      <c r="S523" s="33"/>
      <c r="T523" s="33"/>
    </row>
    <row r="524" spans="2:20" ht="15.75" customHeight="1">
      <c r="B524" s="5"/>
      <c r="C524" s="5"/>
      <c r="D524" s="5"/>
      <c r="E524" s="5"/>
      <c r="F524" s="5"/>
      <c r="P524" s="33"/>
      <c r="Q524" s="33"/>
      <c r="R524" s="33"/>
      <c r="S524" s="33"/>
      <c r="T524" s="33"/>
    </row>
    <row r="525" spans="2:20" ht="15.75" customHeight="1">
      <c r="B525" s="5"/>
      <c r="C525" s="5"/>
      <c r="D525" s="5"/>
      <c r="E525" s="5"/>
      <c r="F525" s="5"/>
      <c r="P525" s="33"/>
      <c r="Q525" s="33"/>
      <c r="R525" s="33"/>
      <c r="S525" s="33"/>
      <c r="T525" s="33"/>
    </row>
    <row r="526" spans="2:20" ht="15.75" customHeight="1">
      <c r="B526" s="5"/>
      <c r="C526" s="5"/>
      <c r="D526" s="5"/>
      <c r="E526" s="5"/>
      <c r="F526" s="5"/>
      <c r="P526" s="33"/>
      <c r="Q526" s="33"/>
      <c r="R526" s="33"/>
      <c r="S526" s="33"/>
      <c r="T526" s="33"/>
    </row>
    <row r="527" spans="2:20" ht="15.75" customHeight="1">
      <c r="B527" s="5"/>
      <c r="C527" s="5"/>
      <c r="D527" s="5"/>
      <c r="E527" s="5"/>
      <c r="F527" s="5"/>
      <c r="P527" s="33"/>
      <c r="Q527" s="33"/>
      <c r="R527" s="33"/>
      <c r="S527" s="33"/>
      <c r="T527" s="33"/>
    </row>
    <row r="528" spans="2:20" ht="15.75" customHeight="1">
      <c r="B528" s="5"/>
      <c r="C528" s="5"/>
      <c r="D528" s="5"/>
      <c r="E528" s="5"/>
      <c r="F528" s="5"/>
      <c r="P528" s="33"/>
      <c r="Q528" s="33"/>
      <c r="R528" s="33"/>
      <c r="S528" s="33"/>
      <c r="T528" s="33"/>
    </row>
    <row r="529" spans="2:20" ht="15.75" customHeight="1">
      <c r="B529" s="5"/>
      <c r="C529" s="5"/>
      <c r="D529" s="5"/>
      <c r="E529" s="5"/>
      <c r="F529" s="5"/>
      <c r="P529" s="33"/>
      <c r="Q529" s="33"/>
      <c r="R529" s="33"/>
      <c r="S529" s="33"/>
      <c r="T529" s="33"/>
    </row>
    <row r="530" spans="2:20" ht="15.75" customHeight="1">
      <c r="B530" s="5"/>
      <c r="C530" s="5"/>
      <c r="D530" s="5"/>
      <c r="E530" s="5"/>
      <c r="F530" s="5"/>
      <c r="P530" s="33"/>
      <c r="Q530" s="33"/>
      <c r="R530" s="33"/>
      <c r="S530" s="33"/>
      <c r="T530" s="33"/>
    </row>
    <row r="531" spans="2:20" ht="15.75" customHeight="1">
      <c r="B531" s="5"/>
      <c r="C531" s="5"/>
      <c r="D531" s="5"/>
      <c r="E531" s="5"/>
      <c r="F531" s="5"/>
      <c r="P531" s="33"/>
      <c r="Q531" s="33"/>
      <c r="R531" s="33"/>
      <c r="S531" s="33"/>
      <c r="T531" s="33"/>
    </row>
    <row r="532" spans="2:20" ht="15.75" customHeight="1">
      <c r="B532" s="5"/>
      <c r="C532" s="5"/>
      <c r="D532" s="5"/>
      <c r="E532" s="5"/>
      <c r="F532" s="5"/>
      <c r="P532" s="33"/>
      <c r="Q532" s="33"/>
      <c r="R532" s="33"/>
      <c r="S532" s="33"/>
      <c r="T532" s="33"/>
    </row>
    <row r="533" spans="2:20" ht="15.75" customHeight="1">
      <c r="B533" s="5"/>
      <c r="C533" s="5"/>
      <c r="D533" s="5"/>
      <c r="E533" s="5"/>
      <c r="F533" s="5"/>
      <c r="P533" s="33"/>
      <c r="Q533" s="33"/>
      <c r="R533" s="33"/>
      <c r="S533" s="33"/>
      <c r="T533" s="33"/>
    </row>
    <row r="534" spans="2:20" ht="15.75" customHeight="1">
      <c r="B534" s="5"/>
      <c r="C534" s="5"/>
      <c r="D534" s="5"/>
      <c r="E534" s="5"/>
      <c r="F534" s="5"/>
      <c r="P534" s="33"/>
      <c r="Q534" s="33"/>
      <c r="R534" s="33"/>
      <c r="S534" s="33"/>
      <c r="T534" s="33"/>
    </row>
    <row r="535" spans="2:20" ht="15.75" customHeight="1">
      <c r="B535" s="5"/>
      <c r="C535" s="5"/>
      <c r="D535" s="5"/>
      <c r="E535" s="5"/>
      <c r="F535" s="5"/>
      <c r="P535" s="33"/>
      <c r="Q535" s="33"/>
      <c r="R535" s="33"/>
      <c r="S535" s="33"/>
      <c r="T535" s="33"/>
    </row>
    <row r="536" spans="2:20" ht="15.75" customHeight="1">
      <c r="B536" s="5"/>
      <c r="C536" s="5"/>
      <c r="D536" s="5"/>
      <c r="E536" s="5"/>
      <c r="F536" s="5"/>
      <c r="P536" s="33"/>
      <c r="Q536" s="33"/>
      <c r="R536" s="33"/>
      <c r="S536" s="33"/>
      <c r="T536" s="33"/>
    </row>
    <row r="537" spans="2:20" ht="15.75" customHeight="1">
      <c r="B537" s="5"/>
      <c r="C537" s="5"/>
      <c r="D537" s="5"/>
      <c r="E537" s="5"/>
      <c r="F537" s="5"/>
      <c r="P537" s="33"/>
      <c r="Q537" s="33"/>
      <c r="R537" s="33"/>
      <c r="S537" s="33"/>
      <c r="T537" s="33"/>
    </row>
    <row r="538" spans="2:20" ht="15.75" customHeight="1">
      <c r="B538" s="5"/>
      <c r="C538" s="5"/>
      <c r="D538" s="5"/>
      <c r="E538" s="5"/>
      <c r="F538" s="5"/>
      <c r="P538" s="33"/>
      <c r="Q538" s="33"/>
      <c r="R538" s="33"/>
      <c r="S538" s="33"/>
      <c r="T538" s="33"/>
    </row>
    <row r="539" spans="2:20" ht="15.75" customHeight="1">
      <c r="B539" s="5"/>
      <c r="C539" s="5"/>
      <c r="D539" s="5"/>
      <c r="E539" s="5"/>
      <c r="F539" s="5"/>
      <c r="P539" s="33"/>
      <c r="Q539" s="33"/>
      <c r="R539" s="33"/>
      <c r="S539" s="33"/>
      <c r="T539" s="33"/>
    </row>
    <row r="540" spans="2:20" ht="15.75" customHeight="1">
      <c r="B540" s="5"/>
      <c r="C540" s="5"/>
      <c r="D540" s="5"/>
      <c r="E540" s="5"/>
      <c r="F540" s="5"/>
      <c r="P540" s="33"/>
      <c r="Q540" s="33"/>
      <c r="R540" s="33"/>
      <c r="S540" s="33"/>
      <c r="T540" s="33"/>
    </row>
    <row r="541" spans="2:20" ht="15.75" customHeight="1">
      <c r="B541" s="5"/>
      <c r="C541" s="5"/>
      <c r="D541" s="5"/>
      <c r="E541" s="5"/>
      <c r="F541" s="5"/>
      <c r="P541" s="33"/>
      <c r="Q541" s="33"/>
      <c r="R541" s="33"/>
      <c r="S541" s="33"/>
      <c r="T541" s="33"/>
    </row>
    <row r="542" spans="2:20" ht="15.75" customHeight="1">
      <c r="B542" s="5"/>
      <c r="C542" s="5"/>
      <c r="D542" s="5"/>
      <c r="E542" s="5"/>
      <c r="F542" s="5"/>
      <c r="P542" s="33"/>
      <c r="Q542" s="33"/>
      <c r="R542" s="33"/>
      <c r="S542" s="33"/>
      <c r="T542" s="33"/>
    </row>
    <row r="543" spans="2:20" ht="15.75" customHeight="1">
      <c r="B543" s="5"/>
      <c r="C543" s="5"/>
      <c r="D543" s="5"/>
      <c r="E543" s="5"/>
      <c r="F543" s="5"/>
      <c r="P543" s="33"/>
      <c r="Q543" s="33"/>
      <c r="R543" s="33"/>
      <c r="S543" s="33"/>
      <c r="T543" s="33"/>
    </row>
    <row r="544" spans="2:20" ht="15.75" customHeight="1">
      <c r="B544" s="5"/>
      <c r="C544" s="5"/>
      <c r="D544" s="5"/>
      <c r="E544" s="5"/>
      <c r="F544" s="5"/>
      <c r="P544" s="33"/>
      <c r="Q544" s="33"/>
      <c r="R544" s="33"/>
      <c r="S544" s="33"/>
      <c r="T544" s="33"/>
    </row>
    <row r="545" spans="2:20" ht="15.75" customHeight="1">
      <c r="B545" s="5"/>
      <c r="C545" s="5"/>
      <c r="D545" s="5"/>
      <c r="E545" s="5"/>
      <c r="F545" s="5"/>
      <c r="P545" s="33"/>
      <c r="Q545" s="33"/>
      <c r="R545" s="33"/>
      <c r="S545" s="33"/>
      <c r="T545" s="33"/>
    </row>
    <row r="546" spans="2:20" ht="15.75" customHeight="1">
      <c r="B546" s="5"/>
      <c r="C546" s="5"/>
      <c r="D546" s="5"/>
      <c r="E546" s="5"/>
      <c r="F546" s="5"/>
      <c r="P546" s="33"/>
      <c r="Q546" s="33"/>
      <c r="R546" s="33"/>
      <c r="S546" s="33"/>
      <c r="T546" s="33"/>
    </row>
    <row r="547" spans="2:20" ht="15.75" customHeight="1">
      <c r="B547" s="5"/>
      <c r="C547" s="5"/>
      <c r="D547" s="5"/>
      <c r="E547" s="5"/>
      <c r="F547" s="5"/>
      <c r="P547" s="33"/>
      <c r="Q547" s="33"/>
      <c r="R547" s="33"/>
      <c r="S547" s="33"/>
      <c r="T547" s="33"/>
    </row>
    <row r="548" spans="2:20" ht="15.75" customHeight="1">
      <c r="B548" s="5"/>
      <c r="C548" s="5"/>
      <c r="D548" s="5"/>
      <c r="E548" s="5"/>
      <c r="F548" s="5"/>
      <c r="P548" s="33"/>
      <c r="Q548" s="33"/>
      <c r="R548" s="33"/>
      <c r="S548" s="33"/>
      <c r="T548" s="33"/>
    </row>
    <row r="549" spans="2:20" ht="15.75" customHeight="1">
      <c r="B549" s="5"/>
      <c r="C549" s="5"/>
      <c r="D549" s="5"/>
      <c r="E549" s="5"/>
      <c r="F549" s="5"/>
      <c r="P549" s="33"/>
      <c r="Q549" s="33"/>
      <c r="R549" s="33"/>
      <c r="S549" s="33"/>
      <c r="T549" s="33"/>
    </row>
    <row r="550" spans="2:20" ht="15.75" customHeight="1">
      <c r="B550" s="5"/>
      <c r="C550" s="5"/>
      <c r="D550" s="5"/>
      <c r="E550" s="5"/>
      <c r="F550" s="5"/>
      <c r="P550" s="33"/>
      <c r="Q550" s="33"/>
      <c r="R550" s="33"/>
      <c r="S550" s="33"/>
      <c r="T550" s="33"/>
    </row>
    <row r="551" spans="2:20" ht="15.75" customHeight="1">
      <c r="B551" s="5"/>
      <c r="C551" s="5"/>
      <c r="D551" s="5"/>
      <c r="E551" s="5"/>
      <c r="F551" s="5"/>
      <c r="P551" s="33"/>
      <c r="Q551" s="33"/>
      <c r="R551" s="33"/>
      <c r="S551" s="33"/>
      <c r="T551" s="33"/>
    </row>
    <row r="552" spans="2:20" ht="15.75" customHeight="1">
      <c r="B552" s="5"/>
      <c r="C552" s="5"/>
      <c r="D552" s="5"/>
      <c r="E552" s="5"/>
      <c r="F552" s="5"/>
      <c r="P552" s="33"/>
      <c r="Q552" s="33"/>
      <c r="R552" s="33"/>
      <c r="S552" s="33"/>
      <c r="T552" s="33"/>
    </row>
    <row r="553" spans="2:20" ht="15.75" customHeight="1">
      <c r="B553" s="5"/>
      <c r="C553" s="5"/>
      <c r="D553" s="5"/>
      <c r="E553" s="5"/>
      <c r="F553" s="5"/>
      <c r="P553" s="33"/>
      <c r="Q553" s="33"/>
      <c r="R553" s="33"/>
      <c r="S553" s="33"/>
      <c r="T553" s="33"/>
    </row>
    <row r="554" spans="2:20" ht="15.75" customHeight="1">
      <c r="B554" s="5"/>
      <c r="C554" s="5"/>
      <c r="D554" s="5"/>
      <c r="E554" s="5"/>
      <c r="F554" s="5"/>
      <c r="P554" s="33"/>
      <c r="Q554" s="33"/>
      <c r="R554" s="33"/>
      <c r="S554" s="33"/>
      <c r="T554" s="33"/>
    </row>
    <row r="555" spans="2:20" ht="15.75" customHeight="1">
      <c r="B555" s="5"/>
      <c r="C555" s="5"/>
      <c r="D555" s="5"/>
      <c r="E555" s="5"/>
      <c r="F555" s="5"/>
      <c r="P555" s="33"/>
      <c r="Q555" s="33"/>
      <c r="R555" s="33"/>
      <c r="S555" s="33"/>
      <c r="T555" s="33"/>
    </row>
    <row r="556" spans="2:20" ht="15.75" customHeight="1">
      <c r="B556" s="5"/>
      <c r="C556" s="5"/>
      <c r="D556" s="5"/>
      <c r="E556" s="5"/>
      <c r="F556" s="5"/>
      <c r="P556" s="33"/>
      <c r="Q556" s="33"/>
      <c r="R556" s="33"/>
      <c r="S556" s="33"/>
      <c r="T556" s="33"/>
    </row>
    <row r="557" spans="2:20" ht="15.75" customHeight="1">
      <c r="B557" s="5"/>
      <c r="C557" s="5"/>
      <c r="D557" s="5"/>
      <c r="E557" s="5"/>
      <c r="F557" s="5"/>
      <c r="P557" s="33"/>
      <c r="Q557" s="33"/>
      <c r="R557" s="33"/>
      <c r="S557" s="33"/>
      <c r="T557" s="33"/>
    </row>
    <row r="558" spans="2:20" ht="15.75" customHeight="1">
      <c r="B558" s="5"/>
      <c r="C558" s="5"/>
      <c r="D558" s="5"/>
      <c r="E558" s="5"/>
      <c r="F558" s="5"/>
      <c r="P558" s="33"/>
      <c r="Q558" s="33"/>
      <c r="R558" s="33"/>
      <c r="S558" s="33"/>
      <c r="T558" s="33"/>
    </row>
    <row r="559" spans="2:20" ht="15.75" customHeight="1">
      <c r="B559" s="5"/>
      <c r="C559" s="5"/>
      <c r="D559" s="5"/>
      <c r="E559" s="5"/>
      <c r="F559" s="5"/>
      <c r="P559" s="33"/>
      <c r="Q559" s="33"/>
      <c r="R559" s="33"/>
      <c r="S559" s="33"/>
      <c r="T559" s="33"/>
    </row>
    <row r="560" spans="2:20" ht="15.75" customHeight="1">
      <c r="B560" s="5"/>
      <c r="C560" s="5"/>
      <c r="D560" s="5"/>
      <c r="E560" s="5"/>
      <c r="F560" s="5"/>
      <c r="P560" s="33"/>
      <c r="Q560" s="33"/>
      <c r="R560" s="33"/>
      <c r="S560" s="33"/>
      <c r="T560" s="33"/>
    </row>
    <row r="561" spans="2:20" ht="15.75" customHeight="1">
      <c r="B561" s="5"/>
      <c r="C561" s="5"/>
      <c r="D561" s="5"/>
      <c r="E561" s="5"/>
      <c r="F561" s="5"/>
      <c r="P561" s="33"/>
      <c r="Q561" s="33"/>
      <c r="R561" s="33"/>
      <c r="S561" s="33"/>
      <c r="T561" s="33"/>
    </row>
    <row r="562" spans="2:20" ht="15.75" customHeight="1">
      <c r="B562" s="5"/>
      <c r="C562" s="5"/>
      <c r="D562" s="5"/>
      <c r="E562" s="5"/>
      <c r="F562" s="5"/>
      <c r="P562" s="33"/>
      <c r="Q562" s="33"/>
      <c r="R562" s="33"/>
      <c r="S562" s="33"/>
      <c r="T562" s="33"/>
    </row>
    <row r="563" spans="2:20" ht="15.75" customHeight="1">
      <c r="B563" s="5"/>
      <c r="C563" s="5"/>
      <c r="D563" s="5"/>
      <c r="E563" s="5"/>
      <c r="F563" s="5"/>
      <c r="P563" s="33"/>
      <c r="Q563" s="33"/>
      <c r="R563" s="33"/>
      <c r="S563" s="33"/>
      <c r="T563" s="33"/>
    </row>
    <row r="564" spans="2:20" ht="15.75" customHeight="1">
      <c r="B564" s="5"/>
      <c r="C564" s="5"/>
      <c r="D564" s="5"/>
      <c r="E564" s="5"/>
      <c r="F564" s="5"/>
      <c r="P564" s="33"/>
      <c r="Q564" s="33"/>
      <c r="R564" s="33"/>
      <c r="S564" s="33"/>
      <c r="T564" s="33"/>
    </row>
    <row r="565" spans="2:20" ht="15.75" customHeight="1">
      <c r="B565" s="5"/>
      <c r="C565" s="5"/>
      <c r="D565" s="5"/>
      <c r="E565" s="5"/>
      <c r="F565" s="5"/>
      <c r="P565" s="33"/>
      <c r="Q565" s="33"/>
      <c r="R565" s="33"/>
      <c r="S565" s="33"/>
      <c r="T565" s="33"/>
    </row>
    <row r="566" spans="2:20" ht="15.75" customHeight="1">
      <c r="B566" s="5"/>
      <c r="C566" s="5"/>
      <c r="D566" s="5"/>
      <c r="E566" s="5"/>
      <c r="F566" s="5"/>
      <c r="P566" s="33"/>
      <c r="Q566" s="33"/>
      <c r="R566" s="33"/>
      <c r="S566" s="33"/>
      <c r="T566" s="33"/>
    </row>
    <row r="567" spans="2:20" ht="15.75" customHeight="1">
      <c r="B567" s="5"/>
      <c r="C567" s="5"/>
      <c r="D567" s="5"/>
      <c r="E567" s="5"/>
      <c r="F567" s="5"/>
      <c r="P567" s="33"/>
      <c r="Q567" s="33"/>
      <c r="R567" s="33"/>
      <c r="S567" s="33"/>
      <c r="T567" s="33"/>
    </row>
    <row r="568" spans="2:20" ht="15.75" customHeight="1">
      <c r="B568" s="5"/>
      <c r="C568" s="5"/>
      <c r="D568" s="5"/>
      <c r="E568" s="5"/>
      <c r="F568" s="5"/>
      <c r="P568" s="33"/>
      <c r="Q568" s="33"/>
      <c r="R568" s="33"/>
      <c r="S568" s="33"/>
      <c r="T568" s="33"/>
    </row>
    <row r="569" spans="2:20" ht="15.75" customHeight="1">
      <c r="B569" s="5"/>
      <c r="C569" s="5"/>
      <c r="D569" s="5"/>
      <c r="E569" s="5"/>
      <c r="F569" s="5"/>
      <c r="P569" s="33"/>
      <c r="Q569" s="33"/>
      <c r="R569" s="33"/>
      <c r="S569" s="33"/>
      <c r="T569" s="33"/>
    </row>
    <row r="570" spans="2:20" ht="15.75" customHeight="1">
      <c r="B570" s="5"/>
      <c r="C570" s="5"/>
      <c r="D570" s="5"/>
      <c r="E570" s="5"/>
      <c r="F570" s="5"/>
      <c r="P570" s="33"/>
      <c r="Q570" s="33"/>
      <c r="R570" s="33"/>
      <c r="S570" s="33"/>
      <c r="T570" s="33"/>
    </row>
    <row r="571" spans="2:20" ht="15.75" customHeight="1">
      <c r="B571" s="5"/>
      <c r="C571" s="5"/>
      <c r="D571" s="5"/>
      <c r="E571" s="5"/>
      <c r="F571" s="5"/>
      <c r="P571" s="33"/>
      <c r="Q571" s="33"/>
      <c r="R571" s="33"/>
      <c r="S571" s="33"/>
      <c r="T571" s="33"/>
    </row>
    <row r="572" spans="2:20" ht="15.75" customHeight="1">
      <c r="B572" s="5"/>
      <c r="C572" s="5"/>
      <c r="D572" s="5"/>
      <c r="E572" s="5"/>
      <c r="F572" s="5"/>
      <c r="P572" s="33"/>
      <c r="Q572" s="33"/>
      <c r="R572" s="33"/>
      <c r="S572" s="33"/>
      <c r="T572" s="33"/>
    </row>
    <row r="573" spans="2:20" ht="15.75" customHeight="1">
      <c r="B573" s="5"/>
      <c r="C573" s="5"/>
      <c r="D573" s="5"/>
      <c r="E573" s="5"/>
      <c r="F573" s="5"/>
      <c r="P573" s="33"/>
      <c r="Q573" s="33"/>
      <c r="R573" s="33"/>
      <c r="S573" s="33"/>
      <c r="T573" s="33"/>
    </row>
    <row r="574" spans="2:20" ht="15.75" customHeight="1">
      <c r="B574" s="5"/>
      <c r="C574" s="5"/>
      <c r="D574" s="5"/>
      <c r="E574" s="5"/>
      <c r="F574" s="5"/>
      <c r="P574" s="33"/>
      <c r="Q574" s="33"/>
      <c r="R574" s="33"/>
      <c r="S574" s="33"/>
      <c r="T574" s="33"/>
    </row>
    <row r="575" spans="2:20" ht="15.75" customHeight="1">
      <c r="B575" s="5"/>
      <c r="C575" s="5"/>
      <c r="D575" s="5"/>
      <c r="E575" s="5"/>
      <c r="F575" s="5"/>
      <c r="P575" s="33"/>
      <c r="Q575" s="33"/>
      <c r="R575" s="33"/>
      <c r="S575" s="33"/>
      <c r="T575" s="33"/>
    </row>
    <row r="576" spans="2:20" ht="15.75" customHeight="1">
      <c r="B576" s="5"/>
      <c r="C576" s="5"/>
      <c r="D576" s="5"/>
      <c r="E576" s="5"/>
      <c r="F576" s="5"/>
      <c r="P576" s="33"/>
      <c r="Q576" s="33"/>
      <c r="R576" s="33"/>
      <c r="S576" s="33"/>
      <c r="T576" s="33"/>
    </row>
    <row r="577" spans="2:20" ht="15.75" customHeight="1">
      <c r="B577" s="5"/>
      <c r="C577" s="5"/>
      <c r="D577" s="5"/>
      <c r="E577" s="5"/>
      <c r="F577" s="5"/>
      <c r="P577" s="33"/>
      <c r="Q577" s="33"/>
      <c r="R577" s="33"/>
      <c r="S577" s="33"/>
      <c r="T577" s="33"/>
    </row>
    <row r="578" spans="2:20" ht="15.75" customHeight="1">
      <c r="B578" s="5"/>
      <c r="C578" s="5"/>
      <c r="D578" s="5"/>
      <c r="E578" s="5"/>
      <c r="F578" s="5"/>
      <c r="P578" s="33"/>
      <c r="Q578" s="33"/>
      <c r="R578" s="33"/>
      <c r="S578" s="33"/>
      <c r="T578" s="33"/>
    </row>
    <row r="579" spans="2:20" ht="15.75" customHeight="1">
      <c r="B579" s="5"/>
      <c r="C579" s="5"/>
      <c r="D579" s="5"/>
      <c r="E579" s="5"/>
      <c r="F579" s="5"/>
      <c r="P579" s="33"/>
      <c r="Q579" s="33"/>
      <c r="R579" s="33"/>
      <c r="S579" s="33"/>
      <c r="T579" s="33"/>
    </row>
    <row r="580" spans="2:20" ht="15.75" customHeight="1">
      <c r="B580" s="5"/>
      <c r="C580" s="5"/>
      <c r="D580" s="5"/>
      <c r="E580" s="5"/>
      <c r="F580" s="5"/>
      <c r="P580" s="33"/>
      <c r="Q580" s="33"/>
      <c r="R580" s="33"/>
      <c r="S580" s="33"/>
      <c r="T580" s="33"/>
    </row>
    <row r="581" spans="2:20" ht="15.75" customHeight="1">
      <c r="B581" s="5"/>
      <c r="C581" s="5"/>
      <c r="D581" s="5"/>
      <c r="E581" s="5"/>
      <c r="F581" s="5"/>
      <c r="P581" s="33"/>
      <c r="Q581" s="33"/>
      <c r="R581" s="33"/>
      <c r="S581" s="33"/>
      <c r="T581" s="33"/>
    </row>
    <row r="582" spans="2:20" ht="15.75" customHeight="1">
      <c r="B582" s="5"/>
      <c r="C582" s="5"/>
      <c r="D582" s="5"/>
      <c r="E582" s="5"/>
      <c r="F582" s="5"/>
      <c r="P582" s="33"/>
      <c r="Q582" s="33"/>
      <c r="R582" s="33"/>
      <c r="S582" s="33"/>
      <c r="T582" s="33"/>
    </row>
    <row r="583" spans="2:20" ht="15.75" customHeight="1">
      <c r="B583" s="5"/>
      <c r="C583" s="5"/>
      <c r="D583" s="5"/>
      <c r="E583" s="5"/>
      <c r="F583" s="5"/>
      <c r="P583" s="33"/>
      <c r="Q583" s="33"/>
      <c r="R583" s="33"/>
      <c r="S583" s="33"/>
      <c r="T583" s="33"/>
    </row>
    <row r="584" spans="2:20" ht="15.75" customHeight="1">
      <c r="B584" s="5"/>
      <c r="C584" s="5"/>
      <c r="D584" s="5"/>
      <c r="E584" s="5"/>
      <c r="F584" s="5"/>
      <c r="P584" s="33"/>
      <c r="Q584" s="33"/>
      <c r="R584" s="33"/>
      <c r="S584" s="33"/>
      <c r="T584" s="33"/>
    </row>
    <row r="585" spans="2:20" ht="15.75" customHeight="1">
      <c r="B585" s="5"/>
      <c r="C585" s="5"/>
      <c r="D585" s="5"/>
      <c r="E585" s="5"/>
      <c r="F585" s="5"/>
      <c r="P585" s="33"/>
      <c r="Q585" s="33"/>
      <c r="R585" s="33"/>
      <c r="S585" s="33"/>
      <c r="T585" s="33"/>
    </row>
    <row r="586" spans="2:20" ht="15.75" customHeight="1">
      <c r="B586" s="5"/>
      <c r="C586" s="5"/>
      <c r="D586" s="5"/>
      <c r="E586" s="5"/>
      <c r="F586" s="5"/>
      <c r="P586" s="33"/>
      <c r="Q586" s="33"/>
      <c r="R586" s="33"/>
      <c r="S586" s="33"/>
      <c r="T586" s="33"/>
    </row>
    <row r="587" spans="2:20" ht="15.75" customHeight="1">
      <c r="B587" s="5"/>
      <c r="C587" s="5"/>
      <c r="D587" s="5"/>
      <c r="E587" s="5"/>
      <c r="F587" s="5"/>
      <c r="P587" s="33"/>
      <c r="Q587" s="33"/>
      <c r="R587" s="33"/>
      <c r="S587" s="33"/>
      <c r="T587" s="33"/>
    </row>
    <row r="588" spans="2:20" ht="15.75" customHeight="1">
      <c r="B588" s="5"/>
      <c r="C588" s="5"/>
      <c r="D588" s="5"/>
      <c r="E588" s="5"/>
      <c r="F588" s="5"/>
      <c r="P588" s="33"/>
      <c r="Q588" s="33"/>
      <c r="R588" s="33"/>
      <c r="S588" s="33"/>
      <c r="T588" s="33"/>
    </row>
    <row r="589" spans="2:20" ht="15.75" customHeight="1">
      <c r="B589" s="5"/>
      <c r="C589" s="5"/>
      <c r="D589" s="5"/>
      <c r="E589" s="5"/>
      <c r="F589" s="5"/>
      <c r="P589" s="33"/>
      <c r="Q589" s="33"/>
      <c r="R589" s="33"/>
      <c r="S589" s="33"/>
      <c r="T589" s="33"/>
    </row>
    <row r="590" spans="2:20" ht="15.75" customHeight="1">
      <c r="B590" s="5"/>
      <c r="C590" s="5"/>
      <c r="D590" s="5"/>
      <c r="E590" s="5"/>
      <c r="F590" s="5"/>
      <c r="P590" s="33"/>
      <c r="Q590" s="33"/>
      <c r="R590" s="33"/>
      <c r="S590" s="33"/>
      <c r="T590" s="33"/>
    </row>
    <row r="591" spans="2:20" ht="15.75" customHeight="1">
      <c r="B591" s="5"/>
      <c r="C591" s="5"/>
      <c r="D591" s="5"/>
      <c r="E591" s="5"/>
      <c r="F591" s="5"/>
      <c r="P591" s="33"/>
      <c r="Q591" s="33"/>
      <c r="R591" s="33"/>
      <c r="S591" s="33"/>
      <c r="T591" s="33"/>
    </row>
    <row r="592" spans="2:20" ht="15.75" customHeight="1">
      <c r="B592" s="5"/>
      <c r="C592" s="5"/>
      <c r="D592" s="5"/>
      <c r="E592" s="5"/>
      <c r="F592" s="5"/>
      <c r="P592" s="33"/>
      <c r="Q592" s="33"/>
      <c r="R592" s="33"/>
      <c r="S592" s="33"/>
      <c r="T592" s="33"/>
    </row>
    <row r="593" spans="2:20" ht="15.75" customHeight="1">
      <c r="B593" s="5"/>
      <c r="C593" s="5"/>
      <c r="D593" s="5"/>
      <c r="E593" s="5"/>
      <c r="F593" s="5"/>
      <c r="P593" s="33"/>
      <c r="Q593" s="33"/>
      <c r="R593" s="33"/>
      <c r="S593" s="33"/>
      <c r="T593" s="33"/>
    </row>
    <row r="594" spans="2:20" ht="15.75" customHeight="1">
      <c r="B594" s="5"/>
      <c r="C594" s="5"/>
      <c r="D594" s="5"/>
      <c r="E594" s="5"/>
      <c r="F594" s="5"/>
      <c r="P594" s="33"/>
      <c r="Q594" s="33"/>
      <c r="R594" s="33"/>
      <c r="S594" s="33"/>
      <c r="T594" s="33"/>
    </row>
    <row r="595" spans="2:20" ht="15.75" customHeight="1">
      <c r="B595" s="5"/>
      <c r="C595" s="5"/>
      <c r="D595" s="5"/>
      <c r="E595" s="5"/>
      <c r="F595" s="5"/>
      <c r="P595" s="33"/>
      <c r="Q595" s="33"/>
      <c r="R595" s="33"/>
      <c r="S595" s="33"/>
      <c r="T595" s="33"/>
    </row>
    <row r="596" spans="2:20" ht="15.75" customHeight="1">
      <c r="B596" s="5"/>
      <c r="C596" s="5"/>
      <c r="D596" s="5"/>
      <c r="E596" s="5"/>
      <c r="F596" s="5"/>
      <c r="P596" s="33"/>
      <c r="Q596" s="33"/>
      <c r="R596" s="33"/>
      <c r="S596" s="33"/>
      <c r="T596" s="33"/>
    </row>
    <row r="597" spans="2:20" ht="15.75" customHeight="1">
      <c r="B597" s="5"/>
      <c r="C597" s="5"/>
      <c r="D597" s="5"/>
      <c r="E597" s="5"/>
      <c r="F597" s="5"/>
      <c r="P597" s="33"/>
      <c r="Q597" s="33"/>
      <c r="R597" s="33"/>
      <c r="S597" s="33"/>
      <c r="T597" s="33"/>
    </row>
    <row r="598" spans="2:20" ht="15.75" customHeight="1">
      <c r="B598" s="5"/>
      <c r="C598" s="5"/>
      <c r="D598" s="5"/>
      <c r="E598" s="5"/>
      <c r="F598" s="5"/>
      <c r="P598" s="33"/>
      <c r="Q598" s="33"/>
      <c r="R598" s="33"/>
      <c r="S598" s="33"/>
      <c r="T598" s="33"/>
    </row>
    <row r="599" spans="2:20" ht="15.75" customHeight="1">
      <c r="B599" s="5"/>
      <c r="C599" s="5"/>
      <c r="D599" s="5"/>
      <c r="E599" s="5"/>
      <c r="F599" s="5"/>
      <c r="P599" s="33"/>
      <c r="Q599" s="33"/>
      <c r="R599" s="33"/>
      <c r="S599" s="33"/>
      <c r="T599" s="33"/>
    </row>
    <row r="600" spans="2:20" ht="15.75" customHeight="1">
      <c r="B600" s="5"/>
      <c r="C600" s="5"/>
      <c r="D600" s="5"/>
      <c r="E600" s="5"/>
      <c r="F600" s="5"/>
      <c r="P600" s="33"/>
      <c r="Q600" s="33"/>
      <c r="R600" s="33"/>
      <c r="S600" s="33"/>
      <c r="T600" s="33"/>
    </row>
    <row r="601" spans="2:20" ht="15.75" customHeight="1">
      <c r="B601" s="5"/>
      <c r="C601" s="5"/>
      <c r="D601" s="5"/>
      <c r="E601" s="5"/>
      <c r="F601" s="5"/>
      <c r="P601" s="33"/>
      <c r="Q601" s="33"/>
      <c r="R601" s="33"/>
      <c r="S601" s="33"/>
      <c r="T601" s="33"/>
    </row>
    <row r="602" spans="2:20" ht="15.75" customHeight="1">
      <c r="B602" s="5"/>
      <c r="C602" s="5"/>
      <c r="D602" s="5"/>
      <c r="E602" s="5"/>
      <c r="F602" s="5"/>
      <c r="P602" s="33"/>
      <c r="Q602" s="33"/>
      <c r="R602" s="33"/>
      <c r="S602" s="33"/>
      <c r="T602" s="33"/>
    </row>
    <row r="603" spans="2:20" ht="15.75" customHeight="1">
      <c r="B603" s="5"/>
      <c r="C603" s="5"/>
      <c r="D603" s="5"/>
      <c r="E603" s="5"/>
      <c r="F603" s="5"/>
      <c r="P603" s="33"/>
      <c r="Q603" s="33"/>
      <c r="R603" s="33"/>
      <c r="S603" s="33"/>
      <c r="T603" s="33"/>
    </row>
    <row r="604" spans="2:20" ht="15.75" customHeight="1">
      <c r="B604" s="5"/>
      <c r="C604" s="5"/>
      <c r="D604" s="5"/>
      <c r="E604" s="5"/>
      <c r="F604" s="5"/>
      <c r="P604" s="33"/>
      <c r="Q604" s="33"/>
      <c r="R604" s="33"/>
      <c r="S604" s="33"/>
      <c r="T604" s="33"/>
    </row>
    <row r="605" spans="2:20" ht="15.75" customHeight="1">
      <c r="B605" s="5"/>
      <c r="C605" s="5"/>
      <c r="D605" s="5"/>
      <c r="E605" s="5"/>
      <c r="F605" s="5"/>
      <c r="P605" s="33"/>
      <c r="Q605" s="33"/>
      <c r="R605" s="33"/>
      <c r="S605" s="33"/>
      <c r="T605" s="33"/>
    </row>
    <row r="606" spans="2:20" ht="15.75" customHeight="1">
      <c r="B606" s="5"/>
      <c r="C606" s="5"/>
      <c r="D606" s="5"/>
      <c r="E606" s="5"/>
      <c r="F606" s="5"/>
      <c r="P606" s="33"/>
      <c r="Q606" s="33"/>
      <c r="R606" s="33"/>
      <c r="S606" s="33"/>
      <c r="T606" s="33"/>
    </row>
    <row r="607" spans="2:20" ht="15.75" customHeight="1">
      <c r="B607" s="5"/>
      <c r="C607" s="5"/>
      <c r="D607" s="5"/>
      <c r="E607" s="5"/>
      <c r="F607" s="5"/>
      <c r="P607" s="33"/>
      <c r="Q607" s="33"/>
      <c r="R607" s="33"/>
      <c r="S607" s="33"/>
      <c r="T607" s="33"/>
    </row>
    <row r="608" spans="2:20" ht="15.75" customHeight="1">
      <c r="B608" s="5"/>
      <c r="C608" s="5"/>
      <c r="D608" s="5"/>
      <c r="E608" s="5"/>
      <c r="F608" s="5"/>
      <c r="P608" s="33"/>
      <c r="Q608" s="33"/>
      <c r="R608" s="33"/>
      <c r="S608" s="33"/>
      <c r="T608" s="33"/>
    </row>
    <row r="609" spans="2:20" ht="15.75" customHeight="1">
      <c r="B609" s="5"/>
      <c r="C609" s="5"/>
      <c r="D609" s="5"/>
      <c r="E609" s="5"/>
      <c r="F609" s="5"/>
      <c r="P609" s="33"/>
      <c r="Q609" s="33"/>
      <c r="R609" s="33"/>
      <c r="S609" s="33"/>
      <c r="T609" s="33"/>
    </row>
    <row r="610" spans="2:20" ht="15.75" customHeight="1">
      <c r="B610" s="5"/>
      <c r="C610" s="5"/>
      <c r="D610" s="5"/>
      <c r="E610" s="5"/>
      <c r="F610" s="5"/>
      <c r="P610" s="33"/>
      <c r="Q610" s="33"/>
      <c r="R610" s="33"/>
      <c r="S610" s="33"/>
      <c r="T610" s="33"/>
    </row>
    <row r="611" spans="2:20" ht="15.75" customHeight="1">
      <c r="B611" s="5"/>
      <c r="C611" s="5"/>
      <c r="D611" s="5"/>
      <c r="E611" s="5"/>
      <c r="F611" s="5"/>
      <c r="P611" s="33"/>
      <c r="Q611" s="33"/>
      <c r="R611" s="33"/>
      <c r="S611" s="33"/>
      <c r="T611" s="33"/>
    </row>
    <row r="612" spans="2:20" ht="15.75" customHeight="1">
      <c r="B612" s="5"/>
      <c r="C612" s="5"/>
      <c r="D612" s="5"/>
      <c r="E612" s="5"/>
      <c r="F612" s="5"/>
      <c r="P612" s="33"/>
      <c r="Q612" s="33"/>
      <c r="R612" s="33"/>
      <c r="S612" s="33"/>
      <c r="T612" s="33"/>
    </row>
    <row r="613" spans="2:20" ht="15.75" customHeight="1">
      <c r="B613" s="5"/>
      <c r="C613" s="5"/>
      <c r="D613" s="5"/>
      <c r="E613" s="5"/>
      <c r="F613" s="5"/>
      <c r="P613" s="33"/>
      <c r="Q613" s="33"/>
      <c r="R613" s="33"/>
      <c r="S613" s="33"/>
      <c r="T613" s="33"/>
    </row>
    <row r="614" spans="2:20" ht="15.75" customHeight="1">
      <c r="B614" s="5"/>
      <c r="C614" s="5"/>
      <c r="D614" s="5"/>
      <c r="E614" s="5"/>
      <c r="F614" s="5"/>
      <c r="P614" s="33"/>
      <c r="Q614" s="33"/>
      <c r="R614" s="33"/>
      <c r="S614" s="33"/>
      <c r="T614" s="33"/>
    </row>
    <row r="615" spans="2:20" ht="15.75" customHeight="1">
      <c r="B615" s="5"/>
      <c r="C615" s="5"/>
      <c r="D615" s="5"/>
      <c r="E615" s="5"/>
      <c r="F615" s="5"/>
      <c r="P615" s="33"/>
      <c r="Q615" s="33"/>
      <c r="R615" s="33"/>
      <c r="S615" s="33"/>
      <c r="T615" s="33"/>
    </row>
    <row r="616" spans="2:20" ht="15.75" customHeight="1">
      <c r="B616" s="5"/>
      <c r="C616" s="5"/>
      <c r="D616" s="5"/>
      <c r="E616" s="5"/>
      <c r="F616" s="5"/>
      <c r="P616" s="33"/>
      <c r="Q616" s="33"/>
      <c r="R616" s="33"/>
      <c r="S616" s="33"/>
      <c r="T616" s="33"/>
    </row>
    <row r="617" spans="2:20" ht="15.75" customHeight="1">
      <c r="B617" s="5"/>
      <c r="C617" s="5"/>
      <c r="D617" s="5"/>
      <c r="E617" s="5"/>
      <c r="F617" s="5"/>
      <c r="P617" s="33"/>
      <c r="Q617" s="33"/>
      <c r="R617" s="33"/>
      <c r="S617" s="33"/>
      <c r="T617" s="33"/>
    </row>
    <row r="618" spans="2:20" ht="15.75" customHeight="1">
      <c r="B618" s="5"/>
      <c r="C618" s="5"/>
      <c r="D618" s="5"/>
      <c r="E618" s="5"/>
      <c r="F618" s="5"/>
      <c r="P618" s="33"/>
      <c r="Q618" s="33"/>
      <c r="R618" s="33"/>
      <c r="S618" s="33"/>
      <c r="T618" s="33"/>
    </row>
    <row r="619" spans="2:20" ht="15.75" customHeight="1">
      <c r="B619" s="5"/>
      <c r="C619" s="5"/>
      <c r="D619" s="5"/>
      <c r="E619" s="5"/>
      <c r="F619" s="5"/>
      <c r="P619" s="33"/>
      <c r="Q619" s="33"/>
      <c r="R619" s="33"/>
      <c r="S619" s="33"/>
      <c r="T619" s="33"/>
    </row>
    <row r="620" spans="2:20" ht="15.75" customHeight="1">
      <c r="B620" s="5"/>
      <c r="C620" s="5"/>
      <c r="D620" s="5"/>
      <c r="E620" s="5"/>
      <c r="F620" s="5"/>
      <c r="P620" s="33"/>
      <c r="Q620" s="33"/>
      <c r="R620" s="33"/>
      <c r="S620" s="33"/>
      <c r="T620" s="33"/>
    </row>
    <row r="621" spans="2:20" ht="15.75" customHeight="1">
      <c r="B621" s="5"/>
      <c r="C621" s="5"/>
      <c r="D621" s="5"/>
      <c r="E621" s="5"/>
      <c r="F621" s="5"/>
      <c r="P621" s="33"/>
      <c r="Q621" s="33"/>
      <c r="R621" s="33"/>
      <c r="S621" s="33"/>
      <c r="T621" s="33"/>
    </row>
    <row r="622" spans="2:20" ht="15.75" customHeight="1">
      <c r="B622" s="5"/>
      <c r="C622" s="5"/>
      <c r="D622" s="5"/>
      <c r="E622" s="5"/>
      <c r="F622" s="5"/>
      <c r="P622" s="33"/>
      <c r="Q622" s="33"/>
      <c r="R622" s="33"/>
      <c r="S622" s="33"/>
      <c r="T622" s="33"/>
    </row>
    <row r="623" spans="2:20" ht="15.75" customHeight="1">
      <c r="B623" s="5"/>
      <c r="C623" s="5"/>
      <c r="D623" s="5"/>
      <c r="E623" s="5"/>
      <c r="F623" s="5"/>
      <c r="P623" s="33"/>
      <c r="Q623" s="33"/>
      <c r="R623" s="33"/>
      <c r="S623" s="33"/>
      <c r="T623" s="33"/>
    </row>
    <row r="624" spans="2:20" ht="15.75" customHeight="1">
      <c r="B624" s="5"/>
      <c r="C624" s="5"/>
      <c r="D624" s="5"/>
      <c r="E624" s="5"/>
      <c r="F624" s="5"/>
      <c r="P624" s="33"/>
      <c r="Q624" s="33"/>
      <c r="R624" s="33"/>
      <c r="S624" s="33"/>
      <c r="T624" s="33"/>
    </row>
    <row r="625" spans="2:20" ht="15.75" customHeight="1">
      <c r="B625" s="5"/>
      <c r="C625" s="5"/>
      <c r="D625" s="5"/>
      <c r="E625" s="5"/>
      <c r="F625" s="5"/>
      <c r="P625" s="33"/>
      <c r="Q625" s="33"/>
      <c r="R625" s="33"/>
      <c r="S625" s="33"/>
      <c r="T625" s="33"/>
    </row>
    <row r="626" spans="2:20" ht="15.75" customHeight="1">
      <c r="B626" s="5"/>
      <c r="C626" s="5"/>
      <c r="D626" s="5"/>
      <c r="E626" s="5"/>
      <c r="F626" s="5"/>
      <c r="P626" s="33"/>
      <c r="Q626" s="33"/>
      <c r="R626" s="33"/>
      <c r="S626" s="33"/>
      <c r="T626" s="33"/>
    </row>
    <row r="627" spans="2:20" ht="15.75" customHeight="1">
      <c r="B627" s="5"/>
      <c r="C627" s="5"/>
      <c r="D627" s="5"/>
      <c r="E627" s="5"/>
      <c r="F627" s="5"/>
      <c r="P627" s="33"/>
      <c r="Q627" s="33"/>
      <c r="R627" s="33"/>
      <c r="S627" s="33"/>
      <c r="T627" s="33"/>
    </row>
    <row r="628" spans="2:20" ht="15.75" customHeight="1">
      <c r="B628" s="5"/>
      <c r="C628" s="5"/>
      <c r="D628" s="5"/>
      <c r="E628" s="5"/>
      <c r="F628" s="5"/>
      <c r="P628" s="33"/>
      <c r="Q628" s="33"/>
      <c r="R628" s="33"/>
      <c r="S628" s="33"/>
      <c r="T628" s="33"/>
    </row>
    <row r="629" spans="2:20" ht="15.75" customHeight="1">
      <c r="B629" s="5"/>
      <c r="C629" s="5"/>
      <c r="D629" s="5"/>
      <c r="E629" s="5"/>
      <c r="F629" s="5"/>
      <c r="P629" s="33"/>
      <c r="Q629" s="33"/>
      <c r="R629" s="33"/>
      <c r="S629" s="33"/>
      <c r="T629" s="33"/>
    </row>
    <row r="630" spans="2:20" ht="15.75" customHeight="1">
      <c r="B630" s="5"/>
      <c r="C630" s="5"/>
      <c r="D630" s="5"/>
      <c r="E630" s="5"/>
      <c r="F630" s="5"/>
      <c r="P630" s="33"/>
      <c r="Q630" s="33"/>
      <c r="R630" s="33"/>
      <c r="S630" s="33"/>
      <c r="T630" s="33"/>
    </row>
    <row r="631" spans="2:20" ht="15.75" customHeight="1">
      <c r="B631" s="5"/>
      <c r="C631" s="5"/>
      <c r="D631" s="5"/>
      <c r="E631" s="5"/>
      <c r="F631" s="5"/>
      <c r="P631" s="33"/>
      <c r="Q631" s="33"/>
      <c r="R631" s="33"/>
      <c r="S631" s="33"/>
      <c r="T631" s="33"/>
    </row>
    <row r="632" spans="2:20" ht="15.75" customHeight="1">
      <c r="B632" s="5"/>
      <c r="C632" s="5"/>
      <c r="D632" s="5"/>
      <c r="E632" s="5"/>
      <c r="F632" s="5"/>
      <c r="P632" s="33"/>
      <c r="Q632" s="33"/>
      <c r="R632" s="33"/>
      <c r="S632" s="33"/>
      <c r="T632" s="33"/>
    </row>
    <row r="633" spans="2:20" ht="15.75" customHeight="1">
      <c r="B633" s="5"/>
      <c r="C633" s="5"/>
      <c r="D633" s="5"/>
      <c r="E633" s="5"/>
      <c r="F633" s="5"/>
      <c r="P633" s="33"/>
      <c r="Q633" s="33"/>
      <c r="R633" s="33"/>
      <c r="S633" s="33"/>
      <c r="T633" s="33"/>
    </row>
    <row r="634" spans="2:20" ht="15.75" customHeight="1">
      <c r="B634" s="5"/>
      <c r="C634" s="5"/>
      <c r="D634" s="5"/>
      <c r="E634" s="5"/>
      <c r="F634" s="5"/>
      <c r="P634" s="33"/>
      <c r="Q634" s="33"/>
      <c r="R634" s="33"/>
      <c r="S634" s="33"/>
      <c r="T634" s="33"/>
    </row>
    <row r="635" spans="2:20" ht="15.75" customHeight="1">
      <c r="B635" s="5"/>
      <c r="C635" s="5"/>
      <c r="D635" s="5"/>
      <c r="E635" s="5"/>
      <c r="F635" s="5"/>
      <c r="P635" s="33"/>
      <c r="Q635" s="33"/>
      <c r="R635" s="33"/>
      <c r="S635" s="33"/>
      <c r="T635" s="33"/>
    </row>
    <row r="636" spans="2:20" ht="15.75" customHeight="1">
      <c r="B636" s="5"/>
      <c r="C636" s="5"/>
      <c r="D636" s="5"/>
      <c r="E636" s="5"/>
      <c r="F636" s="5"/>
      <c r="P636" s="33"/>
      <c r="Q636" s="33"/>
      <c r="R636" s="33"/>
      <c r="S636" s="33"/>
      <c r="T636" s="33"/>
    </row>
    <row r="637" spans="2:20" ht="15.75" customHeight="1">
      <c r="B637" s="5"/>
      <c r="C637" s="5"/>
      <c r="D637" s="5"/>
      <c r="E637" s="5"/>
      <c r="F637" s="5"/>
      <c r="P637" s="33"/>
      <c r="Q637" s="33"/>
      <c r="R637" s="33"/>
      <c r="S637" s="33"/>
      <c r="T637" s="33"/>
    </row>
    <row r="638" spans="2:20" ht="15.75" customHeight="1">
      <c r="B638" s="5"/>
      <c r="C638" s="5"/>
      <c r="D638" s="5"/>
      <c r="E638" s="5"/>
      <c r="F638" s="5"/>
      <c r="P638" s="33"/>
      <c r="Q638" s="33"/>
      <c r="R638" s="33"/>
      <c r="S638" s="33"/>
      <c r="T638" s="33"/>
    </row>
    <row r="639" spans="2:20" ht="15.75" customHeight="1">
      <c r="B639" s="5"/>
      <c r="C639" s="5"/>
      <c r="D639" s="5"/>
      <c r="E639" s="5"/>
      <c r="F639" s="5"/>
      <c r="P639" s="33"/>
      <c r="Q639" s="33"/>
      <c r="R639" s="33"/>
      <c r="S639" s="33"/>
      <c r="T639" s="33"/>
    </row>
    <row r="640" spans="2:20" ht="15.75" customHeight="1">
      <c r="B640" s="5"/>
      <c r="C640" s="5"/>
      <c r="D640" s="5"/>
      <c r="E640" s="5"/>
      <c r="F640" s="5"/>
      <c r="P640" s="33"/>
      <c r="Q640" s="33"/>
      <c r="R640" s="33"/>
      <c r="S640" s="33"/>
      <c r="T640" s="33"/>
    </row>
    <row r="641" spans="2:20" ht="15.75" customHeight="1">
      <c r="B641" s="5"/>
      <c r="C641" s="5"/>
      <c r="D641" s="5"/>
      <c r="E641" s="5"/>
      <c r="F641" s="5"/>
      <c r="P641" s="33"/>
      <c r="Q641" s="33"/>
      <c r="R641" s="33"/>
      <c r="S641" s="33"/>
      <c r="T641" s="33"/>
    </row>
    <row r="642" spans="2:20" ht="15.75" customHeight="1">
      <c r="B642" s="5"/>
      <c r="C642" s="5"/>
      <c r="D642" s="5"/>
      <c r="E642" s="5"/>
      <c r="F642" s="5"/>
      <c r="P642" s="33"/>
      <c r="Q642" s="33"/>
      <c r="R642" s="33"/>
      <c r="S642" s="33"/>
      <c r="T642" s="33"/>
    </row>
    <row r="643" spans="2:20" ht="15.75" customHeight="1">
      <c r="B643" s="5"/>
      <c r="C643" s="5"/>
      <c r="D643" s="5"/>
      <c r="E643" s="5"/>
      <c r="F643" s="5"/>
      <c r="P643" s="33"/>
      <c r="Q643" s="33"/>
      <c r="R643" s="33"/>
      <c r="S643" s="33"/>
      <c r="T643" s="33"/>
    </row>
    <row r="644" spans="2:20" ht="15.75" customHeight="1">
      <c r="B644" s="5"/>
      <c r="C644" s="5"/>
      <c r="D644" s="5"/>
      <c r="E644" s="5"/>
      <c r="F644" s="5"/>
      <c r="P644" s="33"/>
      <c r="Q644" s="33"/>
      <c r="R644" s="33"/>
      <c r="S644" s="33"/>
      <c r="T644" s="33"/>
    </row>
    <row r="645" spans="2:20" ht="15.75" customHeight="1">
      <c r="B645" s="5"/>
      <c r="C645" s="5"/>
      <c r="D645" s="5"/>
      <c r="E645" s="5"/>
      <c r="F645" s="5"/>
      <c r="P645" s="33"/>
      <c r="Q645" s="33"/>
      <c r="R645" s="33"/>
      <c r="S645" s="33"/>
      <c r="T645" s="33"/>
    </row>
    <row r="646" spans="2:20" ht="15.75" customHeight="1">
      <c r="B646" s="5"/>
      <c r="C646" s="5"/>
      <c r="D646" s="5"/>
      <c r="E646" s="5"/>
      <c r="F646" s="5"/>
      <c r="P646" s="33"/>
      <c r="Q646" s="33"/>
      <c r="R646" s="33"/>
      <c r="S646" s="33"/>
      <c r="T646" s="33"/>
    </row>
    <row r="647" spans="2:20" ht="15.75" customHeight="1">
      <c r="B647" s="5"/>
      <c r="C647" s="5"/>
      <c r="D647" s="5"/>
      <c r="E647" s="5"/>
      <c r="F647" s="5"/>
      <c r="P647" s="33"/>
      <c r="Q647" s="33"/>
      <c r="R647" s="33"/>
      <c r="S647" s="33"/>
      <c r="T647" s="33"/>
    </row>
    <row r="648" spans="2:20" ht="15.75" customHeight="1">
      <c r="B648" s="5"/>
      <c r="C648" s="5"/>
      <c r="D648" s="5"/>
      <c r="E648" s="5"/>
      <c r="F648" s="5"/>
      <c r="P648" s="33"/>
      <c r="Q648" s="33"/>
      <c r="R648" s="33"/>
      <c r="S648" s="33"/>
      <c r="T648" s="33"/>
    </row>
    <row r="649" spans="2:20" ht="15.75" customHeight="1">
      <c r="B649" s="5"/>
      <c r="C649" s="5"/>
      <c r="D649" s="5"/>
      <c r="E649" s="5"/>
      <c r="F649" s="5"/>
      <c r="P649" s="33"/>
      <c r="Q649" s="33"/>
      <c r="R649" s="33"/>
      <c r="S649" s="33"/>
      <c r="T649" s="33"/>
    </row>
    <row r="650" spans="2:20" ht="15.75" customHeight="1">
      <c r="B650" s="5"/>
      <c r="C650" s="5"/>
      <c r="D650" s="5"/>
      <c r="E650" s="5"/>
      <c r="F650" s="5"/>
      <c r="P650" s="33"/>
      <c r="Q650" s="33"/>
      <c r="R650" s="33"/>
      <c r="S650" s="33"/>
      <c r="T650" s="33"/>
    </row>
    <row r="651" spans="2:20" ht="15.75" customHeight="1">
      <c r="B651" s="5"/>
      <c r="C651" s="5"/>
      <c r="D651" s="5"/>
      <c r="E651" s="5"/>
      <c r="F651" s="5"/>
      <c r="P651" s="33"/>
      <c r="Q651" s="33"/>
      <c r="R651" s="33"/>
      <c r="S651" s="33"/>
      <c r="T651" s="33"/>
    </row>
    <row r="652" spans="2:20" ht="15.75" customHeight="1">
      <c r="B652" s="5"/>
      <c r="C652" s="5"/>
      <c r="D652" s="5"/>
      <c r="E652" s="5"/>
      <c r="F652" s="5"/>
      <c r="P652" s="33"/>
      <c r="Q652" s="33"/>
      <c r="R652" s="33"/>
      <c r="S652" s="33"/>
      <c r="T652" s="33"/>
    </row>
    <row r="653" spans="2:20" ht="15.75" customHeight="1">
      <c r="B653" s="5"/>
      <c r="C653" s="5"/>
      <c r="D653" s="5"/>
      <c r="E653" s="5"/>
      <c r="F653" s="5"/>
      <c r="P653" s="33"/>
      <c r="Q653" s="33"/>
      <c r="R653" s="33"/>
      <c r="S653" s="33"/>
      <c r="T653" s="33"/>
    </row>
    <row r="654" spans="2:20" ht="15.75" customHeight="1">
      <c r="B654" s="5"/>
      <c r="C654" s="5"/>
      <c r="D654" s="5"/>
      <c r="E654" s="5"/>
      <c r="F654" s="5"/>
      <c r="P654" s="33"/>
      <c r="Q654" s="33"/>
      <c r="R654" s="33"/>
      <c r="S654" s="33"/>
      <c r="T654" s="33"/>
    </row>
    <row r="655" spans="2:20" ht="15.75" customHeight="1">
      <c r="B655" s="5"/>
      <c r="C655" s="5"/>
      <c r="D655" s="5"/>
      <c r="E655" s="5"/>
      <c r="F655" s="5"/>
      <c r="P655" s="33"/>
      <c r="Q655" s="33"/>
      <c r="R655" s="33"/>
      <c r="S655" s="33"/>
      <c r="T655" s="33"/>
    </row>
    <row r="656" spans="2:20" ht="15.75" customHeight="1">
      <c r="B656" s="5"/>
      <c r="C656" s="5"/>
      <c r="D656" s="5"/>
      <c r="E656" s="5"/>
      <c r="F656" s="5"/>
      <c r="P656" s="33"/>
      <c r="Q656" s="33"/>
      <c r="R656" s="33"/>
      <c r="S656" s="33"/>
      <c r="T656" s="33"/>
    </row>
    <row r="657" spans="2:20" ht="15.75" customHeight="1">
      <c r="B657" s="5"/>
      <c r="C657" s="5"/>
      <c r="D657" s="5"/>
      <c r="E657" s="5"/>
      <c r="F657" s="5"/>
      <c r="P657" s="33"/>
      <c r="Q657" s="33"/>
      <c r="R657" s="33"/>
      <c r="S657" s="33"/>
      <c r="T657" s="33"/>
    </row>
    <row r="658" spans="2:20" ht="15.75" customHeight="1">
      <c r="B658" s="5"/>
      <c r="C658" s="5"/>
      <c r="D658" s="5"/>
      <c r="E658" s="5"/>
      <c r="F658" s="5"/>
      <c r="P658" s="33"/>
      <c r="Q658" s="33"/>
      <c r="R658" s="33"/>
      <c r="S658" s="33"/>
      <c r="T658" s="33"/>
    </row>
    <row r="659" spans="2:20" ht="15.75" customHeight="1">
      <c r="B659" s="5"/>
      <c r="C659" s="5"/>
      <c r="D659" s="5"/>
      <c r="E659" s="5"/>
      <c r="F659" s="5"/>
      <c r="P659" s="33"/>
      <c r="Q659" s="33"/>
      <c r="R659" s="33"/>
      <c r="S659" s="33"/>
      <c r="T659" s="33"/>
    </row>
    <row r="660" spans="2:20" ht="15.75" customHeight="1">
      <c r="B660" s="5"/>
      <c r="C660" s="5"/>
      <c r="D660" s="5"/>
      <c r="E660" s="5"/>
      <c r="F660" s="5"/>
      <c r="P660" s="33"/>
      <c r="Q660" s="33"/>
      <c r="R660" s="33"/>
      <c r="S660" s="33"/>
      <c r="T660" s="33"/>
    </row>
    <row r="661" spans="2:20" ht="15.75" customHeight="1">
      <c r="B661" s="5"/>
      <c r="C661" s="5"/>
      <c r="D661" s="5"/>
      <c r="E661" s="5"/>
      <c r="F661" s="5"/>
      <c r="P661" s="33"/>
      <c r="Q661" s="33"/>
      <c r="R661" s="33"/>
      <c r="S661" s="33"/>
      <c r="T661" s="33"/>
    </row>
    <row r="662" spans="2:20" ht="15.75" customHeight="1">
      <c r="B662" s="5"/>
      <c r="C662" s="5"/>
      <c r="D662" s="5"/>
      <c r="E662" s="5"/>
      <c r="F662" s="5"/>
      <c r="P662" s="33"/>
      <c r="Q662" s="33"/>
      <c r="R662" s="33"/>
      <c r="S662" s="33"/>
      <c r="T662" s="33"/>
    </row>
    <row r="663" spans="2:20" ht="15.75" customHeight="1">
      <c r="B663" s="5"/>
      <c r="C663" s="5"/>
      <c r="D663" s="5"/>
      <c r="E663" s="5"/>
      <c r="F663" s="5"/>
      <c r="P663" s="33"/>
      <c r="Q663" s="33"/>
      <c r="R663" s="33"/>
      <c r="S663" s="33"/>
      <c r="T663" s="33"/>
    </row>
    <row r="664" spans="2:20" ht="15.75" customHeight="1">
      <c r="B664" s="5"/>
      <c r="C664" s="5"/>
      <c r="D664" s="5"/>
      <c r="E664" s="5"/>
      <c r="F664" s="5"/>
      <c r="P664" s="33"/>
      <c r="Q664" s="33"/>
      <c r="R664" s="33"/>
      <c r="S664" s="33"/>
      <c r="T664" s="33"/>
    </row>
    <row r="665" spans="2:20" ht="15.75" customHeight="1">
      <c r="B665" s="5"/>
      <c r="C665" s="5"/>
      <c r="D665" s="5"/>
      <c r="E665" s="5"/>
      <c r="F665" s="5"/>
      <c r="P665" s="33"/>
      <c r="Q665" s="33"/>
      <c r="R665" s="33"/>
      <c r="S665" s="33"/>
      <c r="T665" s="33"/>
    </row>
    <row r="666" spans="2:20" ht="15.75" customHeight="1">
      <c r="B666" s="5"/>
      <c r="C666" s="5"/>
      <c r="D666" s="5"/>
      <c r="E666" s="5"/>
      <c r="F666" s="5"/>
      <c r="P666" s="33"/>
      <c r="Q666" s="33"/>
      <c r="R666" s="33"/>
      <c r="S666" s="33"/>
      <c r="T666" s="33"/>
    </row>
    <row r="667" spans="2:20" ht="15.75" customHeight="1">
      <c r="B667" s="5"/>
      <c r="C667" s="5"/>
      <c r="D667" s="5"/>
      <c r="E667" s="5"/>
      <c r="F667" s="5"/>
      <c r="P667" s="33"/>
      <c r="Q667" s="33"/>
      <c r="R667" s="33"/>
      <c r="S667" s="33"/>
      <c r="T667" s="33"/>
    </row>
    <row r="668" spans="2:20" ht="15.75" customHeight="1">
      <c r="B668" s="5"/>
      <c r="C668" s="5"/>
      <c r="D668" s="5"/>
      <c r="E668" s="5"/>
      <c r="F668" s="5"/>
      <c r="P668" s="33"/>
      <c r="Q668" s="33"/>
      <c r="R668" s="33"/>
      <c r="S668" s="33"/>
      <c r="T668" s="33"/>
    </row>
    <row r="669" spans="2:20" ht="15.75" customHeight="1">
      <c r="B669" s="5"/>
      <c r="C669" s="5"/>
      <c r="D669" s="5"/>
      <c r="E669" s="5"/>
      <c r="F669" s="5"/>
      <c r="P669" s="33"/>
      <c r="Q669" s="33"/>
      <c r="R669" s="33"/>
      <c r="S669" s="33"/>
      <c r="T669" s="33"/>
    </row>
    <row r="670" spans="2:20" ht="15.75" customHeight="1">
      <c r="B670" s="5"/>
      <c r="C670" s="5"/>
      <c r="D670" s="5"/>
      <c r="E670" s="5"/>
      <c r="F670" s="5"/>
      <c r="P670" s="33"/>
      <c r="Q670" s="33"/>
      <c r="R670" s="33"/>
      <c r="S670" s="33"/>
      <c r="T670" s="33"/>
    </row>
    <row r="671" spans="2:20" ht="15.75" customHeight="1">
      <c r="B671" s="5"/>
      <c r="C671" s="5"/>
      <c r="D671" s="5"/>
      <c r="E671" s="5"/>
      <c r="F671" s="5"/>
      <c r="P671" s="33"/>
      <c r="Q671" s="33"/>
      <c r="R671" s="33"/>
      <c r="S671" s="33"/>
      <c r="T671" s="33"/>
    </row>
    <row r="672" spans="2:20" ht="15.75" customHeight="1">
      <c r="B672" s="5"/>
      <c r="C672" s="5"/>
      <c r="D672" s="5"/>
      <c r="E672" s="5"/>
      <c r="F672" s="5"/>
      <c r="P672" s="33"/>
      <c r="Q672" s="33"/>
      <c r="R672" s="33"/>
      <c r="S672" s="33"/>
      <c r="T672" s="33"/>
    </row>
    <row r="673" spans="2:20" ht="15.75" customHeight="1">
      <c r="B673" s="5"/>
      <c r="C673" s="5"/>
      <c r="D673" s="5"/>
      <c r="E673" s="5"/>
      <c r="F673" s="5"/>
      <c r="P673" s="33"/>
      <c r="Q673" s="33"/>
      <c r="R673" s="33"/>
      <c r="S673" s="33"/>
      <c r="T673" s="33"/>
    </row>
    <row r="674" spans="2:20" ht="15.75" customHeight="1">
      <c r="B674" s="5"/>
      <c r="C674" s="5"/>
      <c r="D674" s="5"/>
      <c r="E674" s="5"/>
      <c r="F674" s="5"/>
      <c r="P674" s="33"/>
      <c r="Q674" s="33"/>
      <c r="R674" s="33"/>
      <c r="S674" s="33"/>
      <c r="T674" s="33"/>
    </row>
    <row r="675" spans="2:20" ht="15.75" customHeight="1">
      <c r="B675" s="5"/>
      <c r="C675" s="5"/>
      <c r="D675" s="5"/>
      <c r="E675" s="5"/>
      <c r="F675" s="5"/>
      <c r="P675" s="33"/>
      <c r="Q675" s="33"/>
      <c r="R675" s="33"/>
      <c r="S675" s="33"/>
      <c r="T675" s="33"/>
    </row>
    <row r="676" spans="2:20" ht="15.75" customHeight="1">
      <c r="B676" s="5"/>
      <c r="C676" s="5"/>
      <c r="D676" s="5"/>
      <c r="E676" s="5"/>
      <c r="F676" s="5"/>
      <c r="P676" s="33"/>
      <c r="Q676" s="33"/>
      <c r="R676" s="33"/>
      <c r="S676" s="33"/>
      <c r="T676" s="33"/>
    </row>
    <row r="677" spans="2:20" ht="15.75" customHeight="1">
      <c r="B677" s="5"/>
      <c r="C677" s="5"/>
      <c r="D677" s="5"/>
      <c r="E677" s="5"/>
      <c r="F677" s="5"/>
      <c r="P677" s="33"/>
      <c r="Q677" s="33"/>
      <c r="R677" s="33"/>
      <c r="S677" s="33"/>
      <c r="T677" s="33"/>
    </row>
    <row r="678" spans="2:20" ht="15.75" customHeight="1">
      <c r="B678" s="5"/>
      <c r="C678" s="5"/>
      <c r="D678" s="5"/>
      <c r="E678" s="5"/>
      <c r="F678" s="5"/>
      <c r="P678" s="33"/>
      <c r="Q678" s="33"/>
      <c r="R678" s="33"/>
      <c r="S678" s="33"/>
      <c r="T678" s="33"/>
    </row>
    <row r="679" spans="2:20" ht="15.75" customHeight="1">
      <c r="B679" s="5"/>
      <c r="C679" s="5"/>
      <c r="D679" s="5"/>
      <c r="E679" s="5"/>
      <c r="F679" s="5"/>
      <c r="P679" s="33"/>
      <c r="Q679" s="33"/>
      <c r="R679" s="33"/>
      <c r="S679" s="33"/>
      <c r="T679" s="33"/>
    </row>
    <row r="680" spans="2:20" ht="15.75" customHeight="1">
      <c r="B680" s="5"/>
      <c r="C680" s="5"/>
      <c r="D680" s="5"/>
      <c r="E680" s="5"/>
      <c r="F680" s="5"/>
      <c r="P680" s="33"/>
      <c r="Q680" s="33"/>
      <c r="R680" s="33"/>
      <c r="S680" s="33"/>
      <c r="T680" s="33"/>
    </row>
    <row r="681" spans="2:20" ht="15.75" customHeight="1">
      <c r="B681" s="5"/>
      <c r="C681" s="5"/>
      <c r="D681" s="5"/>
      <c r="E681" s="5"/>
      <c r="F681" s="5"/>
      <c r="P681" s="33"/>
      <c r="Q681" s="33"/>
      <c r="R681" s="33"/>
      <c r="S681" s="33"/>
      <c r="T681" s="33"/>
    </row>
    <row r="682" spans="2:20" ht="15.75" customHeight="1">
      <c r="B682" s="5"/>
      <c r="C682" s="5"/>
      <c r="D682" s="5"/>
      <c r="E682" s="5"/>
      <c r="F682" s="5"/>
      <c r="P682" s="33"/>
      <c r="Q682" s="33"/>
      <c r="R682" s="33"/>
      <c r="S682" s="33"/>
      <c r="T682" s="33"/>
    </row>
    <row r="683" spans="2:20" ht="15.75" customHeight="1">
      <c r="B683" s="5"/>
      <c r="C683" s="5"/>
      <c r="D683" s="5"/>
      <c r="E683" s="5"/>
      <c r="F683" s="5"/>
      <c r="P683" s="33"/>
      <c r="Q683" s="33"/>
      <c r="R683" s="33"/>
      <c r="S683" s="33"/>
      <c r="T683" s="33"/>
    </row>
    <row r="684" spans="2:20" ht="15.75" customHeight="1">
      <c r="B684" s="5"/>
      <c r="C684" s="5"/>
      <c r="D684" s="5"/>
      <c r="E684" s="5"/>
      <c r="F684" s="5"/>
      <c r="P684" s="33"/>
      <c r="Q684" s="33"/>
      <c r="R684" s="33"/>
      <c r="S684" s="33"/>
      <c r="T684" s="33"/>
    </row>
    <row r="685" spans="2:20" ht="15.75" customHeight="1">
      <c r="B685" s="5"/>
      <c r="C685" s="5"/>
      <c r="D685" s="5"/>
      <c r="E685" s="5"/>
      <c r="F685" s="5"/>
      <c r="P685" s="33"/>
      <c r="Q685" s="33"/>
      <c r="R685" s="33"/>
      <c r="S685" s="33"/>
      <c r="T685" s="33"/>
    </row>
    <row r="686" spans="2:20" ht="15.75" customHeight="1">
      <c r="B686" s="5"/>
      <c r="C686" s="5"/>
      <c r="D686" s="5"/>
      <c r="E686" s="5"/>
      <c r="F686" s="5"/>
      <c r="P686" s="33"/>
      <c r="Q686" s="33"/>
      <c r="R686" s="33"/>
      <c r="S686" s="33"/>
      <c r="T686" s="33"/>
    </row>
    <row r="687" spans="2:20" ht="15.75" customHeight="1">
      <c r="B687" s="5"/>
      <c r="C687" s="5"/>
      <c r="D687" s="5"/>
      <c r="E687" s="5"/>
      <c r="F687" s="5"/>
      <c r="P687" s="33"/>
      <c r="Q687" s="33"/>
      <c r="R687" s="33"/>
      <c r="S687" s="33"/>
      <c r="T687" s="33"/>
    </row>
    <row r="688" spans="2:20" ht="15.75" customHeight="1">
      <c r="B688" s="5"/>
      <c r="C688" s="5"/>
      <c r="D688" s="5"/>
      <c r="E688" s="5"/>
      <c r="F688" s="5"/>
      <c r="P688" s="33"/>
      <c r="Q688" s="33"/>
      <c r="R688" s="33"/>
      <c r="S688" s="33"/>
      <c r="T688" s="33"/>
    </row>
    <row r="689" spans="2:20" ht="15.75" customHeight="1">
      <c r="B689" s="5"/>
      <c r="C689" s="5"/>
      <c r="D689" s="5"/>
      <c r="E689" s="5"/>
      <c r="F689" s="5"/>
      <c r="P689" s="33"/>
      <c r="Q689" s="33"/>
      <c r="R689" s="33"/>
      <c r="S689" s="33"/>
      <c r="T689" s="33"/>
    </row>
    <row r="690" spans="2:20" ht="15.75" customHeight="1">
      <c r="B690" s="5"/>
      <c r="C690" s="5"/>
      <c r="D690" s="5"/>
      <c r="E690" s="5"/>
      <c r="F690" s="5"/>
      <c r="P690" s="33"/>
      <c r="Q690" s="33"/>
      <c r="R690" s="33"/>
      <c r="S690" s="33"/>
      <c r="T690" s="33"/>
    </row>
    <row r="691" spans="2:20" ht="15.75" customHeight="1">
      <c r="B691" s="5"/>
      <c r="C691" s="5"/>
      <c r="D691" s="5"/>
      <c r="E691" s="5"/>
      <c r="F691" s="5"/>
      <c r="P691" s="33"/>
      <c r="Q691" s="33"/>
      <c r="R691" s="33"/>
      <c r="S691" s="33"/>
      <c r="T691" s="33"/>
    </row>
    <row r="692" spans="2:20" ht="15.75" customHeight="1">
      <c r="B692" s="5"/>
      <c r="C692" s="5"/>
      <c r="D692" s="5"/>
      <c r="E692" s="5"/>
      <c r="F692" s="5"/>
      <c r="P692" s="33"/>
      <c r="Q692" s="33"/>
      <c r="R692" s="33"/>
      <c r="S692" s="33"/>
      <c r="T692" s="33"/>
    </row>
    <row r="693" spans="2:20" ht="15.75" customHeight="1">
      <c r="B693" s="5"/>
      <c r="C693" s="5"/>
      <c r="D693" s="5"/>
      <c r="E693" s="5"/>
      <c r="F693" s="5"/>
      <c r="P693" s="33"/>
      <c r="Q693" s="33"/>
      <c r="R693" s="33"/>
      <c r="S693" s="33"/>
      <c r="T693" s="33"/>
    </row>
    <row r="694" spans="2:20" ht="15.75" customHeight="1">
      <c r="B694" s="5"/>
      <c r="C694" s="5"/>
      <c r="D694" s="5"/>
      <c r="E694" s="5"/>
      <c r="F694" s="5"/>
      <c r="P694" s="33"/>
      <c r="Q694" s="33"/>
      <c r="R694" s="33"/>
      <c r="S694" s="33"/>
      <c r="T694" s="33"/>
    </row>
    <row r="695" spans="2:20" ht="15.75" customHeight="1">
      <c r="B695" s="5"/>
      <c r="C695" s="5"/>
      <c r="D695" s="5"/>
      <c r="E695" s="5"/>
      <c r="F695" s="5"/>
      <c r="P695" s="33"/>
      <c r="Q695" s="33"/>
      <c r="R695" s="33"/>
      <c r="S695" s="33"/>
      <c r="T695" s="33"/>
    </row>
    <row r="696" spans="2:20" ht="15.75" customHeight="1">
      <c r="B696" s="5"/>
      <c r="C696" s="5"/>
      <c r="D696" s="5"/>
      <c r="E696" s="5"/>
      <c r="F696" s="5"/>
      <c r="P696" s="33"/>
      <c r="Q696" s="33"/>
      <c r="R696" s="33"/>
      <c r="S696" s="33"/>
      <c r="T696" s="33"/>
    </row>
    <row r="697" spans="2:20" ht="15.75" customHeight="1">
      <c r="B697" s="5"/>
      <c r="C697" s="5"/>
      <c r="D697" s="5"/>
      <c r="E697" s="5"/>
      <c r="F697" s="5"/>
      <c r="P697" s="33"/>
      <c r="Q697" s="33"/>
      <c r="R697" s="33"/>
      <c r="S697" s="33"/>
      <c r="T697" s="33"/>
    </row>
    <row r="698" spans="2:20" ht="15.75" customHeight="1">
      <c r="B698" s="5"/>
      <c r="C698" s="5"/>
      <c r="D698" s="5"/>
      <c r="E698" s="5"/>
      <c r="F698" s="5"/>
      <c r="P698" s="33"/>
      <c r="Q698" s="33"/>
      <c r="R698" s="33"/>
      <c r="S698" s="33"/>
      <c r="T698" s="33"/>
    </row>
    <row r="699" spans="2:20" ht="15.75" customHeight="1">
      <c r="B699" s="5"/>
      <c r="C699" s="5"/>
      <c r="D699" s="5"/>
      <c r="E699" s="5"/>
      <c r="F699" s="5"/>
      <c r="P699" s="33"/>
      <c r="Q699" s="33"/>
      <c r="R699" s="33"/>
      <c r="S699" s="33"/>
      <c r="T699" s="33"/>
    </row>
    <row r="700" spans="2:20" ht="15.75" customHeight="1">
      <c r="B700" s="5"/>
      <c r="C700" s="5"/>
      <c r="D700" s="5"/>
      <c r="E700" s="5"/>
      <c r="F700" s="5"/>
      <c r="P700" s="33"/>
      <c r="Q700" s="33"/>
      <c r="R700" s="33"/>
      <c r="S700" s="33"/>
      <c r="T700" s="33"/>
    </row>
    <row r="701" spans="2:20" ht="15.75" customHeight="1">
      <c r="B701" s="5"/>
      <c r="C701" s="5"/>
      <c r="D701" s="5"/>
      <c r="E701" s="5"/>
      <c r="F701" s="5"/>
      <c r="P701" s="33"/>
      <c r="Q701" s="33"/>
      <c r="R701" s="33"/>
      <c r="S701" s="33"/>
      <c r="T701" s="33"/>
    </row>
    <row r="702" spans="2:20" ht="15.75" customHeight="1">
      <c r="B702" s="5"/>
      <c r="C702" s="5"/>
      <c r="D702" s="5"/>
      <c r="E702" s="5"/>
      <c r="F702" s="5"/>
      <c r="P702" s="33"/>
      <c r="Q702" s="33"/>
      <c r="R702" s="33"/>
      <c r="S702" s="33"/>
      <c r="T702" s="33"/>
    </row>
    <row r="703" spans="2:20" ht="15.75" customHeight="1">
      <c r="B703" s="5"/>
      <c r="C703" s="5"/>
      <c r="D703" s="5"/>
      <c r="E703" s="5"/>
      <c r="F703" s="5"/>
      <c r="P703" s="33"/>
      <c r="Q703" s="33"/>
      <c r="R703" s="33"/>
      <c r="S703" s="33"/>
      <c r="T703" s="33"/>
    </row>
    <row r="704" spans="2:20" ht="15.75" customHeight="1">
      <c r="B704" s="5"/>
      <c r="C704" s="5"/>
      <c r="D704" s="5"/>
      <c r="E704" s="5"/>
      <c r="F704" s="5"/>
      <c r="P704" s="33"/>
      <c r="Q704" s="33"/>
      <c r="R704" s="33"/>
      <c r="S704" s="33"/>
      <c r="T704" s="33"/>
    </row>
    <row r="705" spans="2:20" ht="15.75" customHeight="1">
      <c r="B705" s="5"/>
      <c r="C705" s="5"/>
      <c r="D705" s="5"/>
      <c r="E705" s="5"/>
      <c r="F705" s="5"/>
      <c r="P705" s="33"/>
      <c r="Q705" s="33"/>
      <c r="R705" s="33"/>
      <c r="S705" s="33"/>
      <c r="T705" s="33"/>
    </row>
    <row r="706" spans="2:20" ht="15.75" customHeight="1">
      <c r="B706" s="5"/>
      <c r="C706" s="5"/>
      <c r="D706" s="5"/>
      <c r="E706" s="5"/>
      <c r="F706" s="5"/>
      <c r="P706" s="33"/>
      <c r="Q706" s="33"/>
      <c r="R706" s="33"/>
      <c r="S706" s="33"/>
      <c r="T706" s="33"/>
    </row>
    <row r="707" spans="2:20" ht="15.75" customHeight="1">
      <c r="B707" s="5"/>
      <c r="C707" s="5"/>
      <c r="D707" s="5"/>
      <c r="E707" s="5"/>
      <c r="F707" s="5"/>
      <c r="P707" s="33"/>
      <c r="Q707" s="33"/>
      <c r="R707" s="33"/>
      <c r="S707" s="33"/>
      <c r="T707" s="33"/>
    </row>
    <row r="708" spans="2:20" ht="15.75" customHeight="1">
      <c r="B708" s="5"/>
      <c r="C708" s="5"/>
      <c r="D708" s="5"/>
      <c r="E708" s="5"/>
      <c r="F708" s="5"/>
      <c r="P708" s="33"/>
      <c r="Q708" s="33"/>
      <c r="R708" s="33"/>
      <c r="S708" s="33"/>
      <c r="T708" s="33"/>
    </row>
    <row r="709" spans="2:20" ht="15.75" customHeight="1">
      <c r="B709" s="5"/>
      <c r="C709" s="5"/>
      <c r="D709" s="5"/>
      <c r="E709" s="5"/>
      <c r="F709" s="5"/>
      <c r="P709" s="33"/>
      <c r="Q709" s="33"/>
      <c r="R709" s="33"/>
      <c r="S709" s="33"/>
      <c r="T709" s="33"/>
    </row>
    <row r="710" spans="2:20" ht="15.75" customHeight="1">
      <c r="B710" s="5"/>
      <c r="C710" s="5"/>
      <c r="D710" s="5"/>
      <c r="E710" s="5"/>
      <c r="F710" s="5"/>
      <c r="P710" s="33"/>
      <c r="Q710" s="33"/>
      <c r="R710" s="33"/>
      <c r="S710" s="33"/>
      <c r="T710" s="33"/>
    </row>
    <row r="711" spans="2:20" ht="15.75" customHeight="1">
      <c r="B711" s="5"/>
      <c r="C711" s="5"/>
      <c r="D711" s="5"/>
      <c r="E711" s="5"/>
      <c r="F711" s="5"/>
      <c r="P711" s="33"/>
      <c r="Q711" s="33"/>
      <c r="R711" s="33"/>
      <c r="S711" s="33"/>
      <c r="T711" s="33"/>
    </row>
    <row r="712" spans="2:20" ht="15.75" customHeight="1">
      <c r="B712" s="5"/>
      <c r="C712" s="5"/>
      <c r="D712" s="5"/>
      <c r="E712" s="5"/>
      <c r="F712" s="5"/>
      <c r="P712" s="33"/>
      <c r="Q712" s="33"/>
      <c r="R712" s="33"/>
      <c r="S712" s="33"/>
      <c r="T712" s="33"/>
    </row>
    <row r="713" spans="2:20" ht="15.75" customHeight="1">
      <c r="B713" s="5"/>
      <c r="C713" s="5"/>
      <c r="D713" s="5"/>
      <c r="E713" s="5"/>
      <c r="F713" s="5"/>
      <c r="P713" s="33"/>
      <c r="Q713" s="33"/>
      <c r="R713" s="33"/>
      <c r="S713" s="33"/>
      <c r="T713" s="33"/>
    </row>
    <row r="714" spans="2:20" ht="15.75" customHeight="1">
      <c r="B714" s="5"/>
      <c r="C714" s="5"/>
      <c r="D714" s="5"/>
      <c r="E714" s="5"/>
      <c r="F714" s="5"/>
      <c r="P714" s="33"/>
      <c r="Q714" s="33"/>
      <c r="R714" s="33"/>
      <c r="S714" s="33"/>
      <c r="T714" s="33"/>
    </row>
    <row r="715" spans="2:20" ht="15.75" customHeight="1">
      <c r="B715" s="5"/>
      <c r="C715" s="5"/>
      <c r="D715" s="5"/>
      <c r="E715" s="5"/>
      <c r="F715" s="5"/>
      <c r="P715" s="33"/>
      <c r="Q715" s="33"/>
      <c r="R715" s="33"/>
      <c r="S715" s="33"/>
      <c r="T715" s="33"/>
    </row>
    <row r="716" spans="2:20" ht="15.75" customHeight="1">
      <c r="B716" s="5"/>
      <c r="C716" s="5"/>
      <c r="D716" s="5"/>
      <c r="E716" s="5"/>
      <c r="F716" s="5"/>
      <c r="P716" s="33"/>
      <c r="Q716" s="33"/>
      <c r="R716" s="33"/>
      <c r="S716" s="33"/>
      <c r="T716" s="33"/>
    </row>
    <row r="717" spans="2:20" ht="15.75" customHeight="1">
      <c r="B717" s="5"/>
      <c r="C717" s="5"/>
      <c r="D717" s="5"/>
      <c r="E717" s="5"/>
      <c r="F717" s="5"/>
      <c r="P717" s="33"/>
      <c r="Q717" s="33"/>
      <c r="R717" s="33"/>
      <c r="S717" s="33"/>
      <c r="T717" s="33"/>
    </row>
    <row r="718" spans="2:20" ht="15.75" customHeight="1">
      <c r="B718" s="5"/>
      <c r="C718" s="5"/>
      <c r="D718" s="5"/>
      <c r="E718" s="5"/>
      <c r="F718" s="5"/>
      <c r="P718" s="33"/>
      <c r="Q718" s="33"/>
      <c r="R718" s="33"/>
      <c r="S718" s="33"/>
      <c r="T718" s="33"/>
    </row>
    <row r="719" spans="2:20" ht="15.75" customHeight="1">
      <c r="B719" s="5"/>
      <c r="C719" s="5"/>
      <c r="D719" s="5"/>
      <c r="E719" s="5"/>
      <c r="F719" s="5"/>
      <c r="P719" s="33"/>
      <c r="Q719" s="33"/>
      <c r="R719" s="33"/>
      <c r="S719" s="33"/>
      <c r="T719" s="33"/>
    </row>
    <row r="720" spans="2:20" ht="15.75" customHeight="1">
      <c r="B720" s="5"/>
      <c r="C720" s="5"/>
      <c r="D720" s="5"/>
      <c r="E720" s="5"/>
      <c r="F720" s="5"/>
      <c r="P720" s="33"/>
      <c r="Q720" s="33"/>
      <c r="R720" s="33"/>
      <c r="S720" s="33"/>
      <c r="T720" s="33"/>
    </row>
    <row r="721" spans="2:20" ht="15.75" customHeight="1">
      <c r="B721" s="5"/>
      <c r="C721" s="5"/>
      <c r="D721" s="5"/>
      <c r="E721" s="5"/>
      <c r="F721" s="5"/>
      <c r="P721" s="33"/>
      <c r="Q721" s="33"/>
      <c r="R721" s="33"/>
      <c r="S721" s="33"/>
      <c r="T721" s="33"/>
    </row>
    <row r="722" spans="2:20" ht="15.75" customHeight="1">
      <c r="B722" s="5"/>
      <c r="C722" s="5"/>
      <c r="D722" s="5"/>
      <c r="E722" s="5"/>
      <c r="F722" s="5"/>
      <c r="P722" s="33"/>
      <c r="Q722" s="33"/>
      <c r="R722" s="33"/>
      <c r="S722" s="33"/>
      <c r="T722" s="33"/>
    </row>
    <row r="723" spans="2:20" ht="15.75" customHeight="1">
      <c r="B723" s="5"/>
      <c r="C723" s="5"/>
      <c r="D723" s="5"/>
      <c r="E723" s="5"/>
      <c r="F723" s="5"/>
      <c r="P723" s="33"/>
      <c r="Q723" s="33"/>
      <c r="R723" s="33"/>
      <c r="S723" s="33"/>
      <c r="T723" s="33"/>
    </row>
    <row r="724" spans="2:20" ht="15.75" customHeight="1">
      <c r="B724" s="5"/>
      <c r="C724" s="5"/>
      <c r="D724" s="5"/>
      <c r="E724" s="5"/>
      <c r="F724" s="5"/>
      <c r="P724" s="33"/>
      <c r="Q724" s="33"/>
      <c r="R724" s="33"/>
      <c r="S724" s="33"/>
      <c r="T724" s="33"/>
    </row>
    <row r="725" spans="2:20" ht="15.75" customHeight="1">
      <c r="B725" s="5"/>
      <c r="C725" s="5"/>
      <c r="D725" s="5"/>
      <c r="E725" s="5"/>
      <c r="F725" s="5"/>
      <c r="P725" s="33"/>
      <c r="Q725" s="33"/>
      <c r="R725" s="33"/>
      <c r="S725" s="33"/>
      <c r="T725" s="33"/>
    </row>
    <row r="726" spans="2:20" ht="15.75" customHeight="1">
      <c r="B726" s="5"/>
      <c r="C726" s="5"/>
      <c r="D726" s="5"/>
      <c r="E726" s="5"/>
      <c r="F726" s="5"/>
      <c r="P726" s="33"/>
      <c r="Q726" s="33"/>
      <c r="R726" s="33"/>
      <c r="S726" s="33"/>
      <c r="T726" s="33"/>
    </row>
    <row r="727" spans="2:20" ht="15.75" customHeight="1">
      <c r="B727" s="5"/>
      <c r="C727" s="5"/>
      <c r="D727" s="5"/>
      <c r="E727" s="5"/>
      <c r="F727" s="5"/>
      <c r="P727" s="33"/>
      <c r="Q727" s="33"/>
      <c r="R727" s="33"/>
      <c r="S727" s="33"/>
      <c r="T727" s="33"/>
    </row>
    <row r="728" spans="2:20" ht="15.75" customHeight="1">
      <c r="B728" s="5"/>
      <c r="C728" s="5"/>
      <c r="D728" s="5"/>
      <c r="E728" s="5"/>
      <c r="F728" s="5"/>
      <c r="P728" s="33"/>
      <c r="Q728" s="33"/>
      <c r="R728" s="33"/>
      <c r="S728" s="33"/>
      <c r="T728" s="33"/>
    </row>
    <row r="729" spans="2:20" ht="15.75" customHeight="1">
      <c r="B729" s="5"/>
      <c r="C729" s="5"/>
      <c r="D729" s="5"/>
      <c r="E729" s="5"/>
      <c r="F729" s="5"/>
      <c r="P729" s="33"/>
      <c r="Q729" s="33"/>
      <c r="R729" s="33"/>
      <c r="S729" s="33"/>
      <c r="T729" s="33"/>
    </row>
    <row r="730" spans="2:20" ht="15.75" customHeight="1">
      <c r="B730" s="5"/>
      <c r="C730" s="5"/>
      <c r="D730" s="5"/>
      <c r="E730" s="5"/>
      <c r="F730" s="5"/>
      <c r="P730" s="33"/>
      <c r="Q730" s="33"/>
      <c r="R730" s="33"/>
      <c r="S730" s="33"/>
      <c r="T730" s="33"/>
    </row>
    <row r="731" spans="2:20" ht="15.75" customHeight="1">
      <c r="B731" s="5"/>
      <c r="C731" s="5"/>
      <c r="D731" s="5"/>
      <c r="E731" s="5"/>
      <c r="F731" s="5"/>
      <c r="P731" s="33"/>
      <c r="Q731" s="33"/>
      <c r="R731" s="33"/>
      <c r="S731" s="33"/>
      <c r="T731" s="33"/>
    </row>
    <row r="732" spans="2:20" ht="15.75" customHeight="1">
      <c r="B732" s="5"/>
      <c r="C732" s="5"/>
      <c r="D732" s="5"/>
      <c r="E732" s="5"/>
      <c r="F732" s="5"/>
      <c r="P732" s="33"/>
      <c r="Q732" s="33"/>
      <c r="R732" s="33"/>
      <c r="S732" s="33"/>
      <c r="T732" s="33"/>
    </row>
    <row r="733" spans="2:20" ht="15.75" customHeight="1">
      <c r="B733" s="5"/>
      <c r="C733" s="5"/>
      <c r="D733" s="5"/>
      <c r="E733" s="5"/>
      <c r="F733" s="5"/>
      <c r="P733" s="33"/>
      <c r="Q733" s="33"/>
      <c r="R733" s="33"/>
      <c r="S733" s="33"/>
      <c r="T733" s="33"/>
    </row>
    <row r="734" spans="2:20" ht="15.75" customHeight="1">
      <c r="B734" s="5"/>
      <c r="C734" s="5"/>
      <c r="D734" s="5"/>
      <c r="E734" s="5"/>
      <c r="F734" s="5"/>
      <c r="P734" s="33"/>
      <c r="Q734" s="33"/>
      <c r="R734" s="33"/>
      <c r="S734" s="33"/>
      <c r="T734" s="33"/>
    </row>
    <row r="735" spans="2:20" ht="15.75" customHeight="1">
      <c r="B735" s="5"/>
      <c r="C735" s="5"/>
      <c r="D735" s="5"/>
      <c r="E735" s="5"/>
      <c r="F735" s="5"/>
      <c r="P735" s="33"/>
      <c r="Q735" s="33"/>
      <c r="R735" s="33"/>
      <c r="S735" s="33"/>
      <c r="T735" s="33"/>
    </row>
    <row r="736" spans="2:20" ht="15.75" customHeight="1">
      <c r="B736" s="5"/>
      <c r="C736" s="5"/>
      <c r="D736" s="5"/>
      <c r="E736" s="5"/>
      <c r="F736" s="5"/>
      <c r="P736" s="33"/>
      <c r="Q736" s="33"/>
      <c r="R736" s="33"/>
      <c r="S736" s="33"/>
      <c r="T736" s="33"/>
    </row>
    <row r="737" spans="2:20" ht="15.75" customHeight="1">
      <c r="B737" s="5"/>
      <c r="C737" s="5"/>
      <c r="D737" s="5"/>
      <c r="E737" s="5"/>
      <c r="F737" s="5"/>
      <c r="P737" s="33"/>
      <c r="Q737" s="33"/>
      <c r="R737" s="33"/>
      <c r="S737" s="33"/>
      <c r="T737" s="33"/>
    </row>
    <row r="738" spans="2:20" ht="15.75" customHeight="1">
      <c r="B738" s="5"/>
      <c r="C738" s="5"/>
      <c r="D738" s="5"/>
      <c r="E738" s="5"/>
      <c r="F738" s="5"/>
      <c r="P738" s="33"/>
      <c r="Q738" s="33"/>
      <c r="R738" s="33"/>
      <c r="S738" s="33"/>
      <c r="T738" s="33"/>
    </row>
    <row r="739" spans="2:20" ht="15.75" customHeight="1">
      <c r="B739" s="5"/>
      <c r="C739" s="5"/>
      <c r="D739" s="5"/>
      <c r="E739" s="5"/>
      <c r="F739" s="5"/>
      <c r="P739" s="33"/>
      <c r="Q739" s="33"/>
      <c r="R739" s="33"/>
      <c r="S739" s="33"/>
      <c r="T739" s="33"/>
    </row>
    <row r="740" spans="2:20" ht="15.75" customHeight="1">
      <c r="B740" s="5"/>
      <c r="C740" s="5"/>
      <c r="D740" s="5"/>
      <c r="E740" s="5"/>
      <c r="F740" s="5"/>
      <c r="P740" s="33"/>
      <c r="Q740" s="33"/>
      <c r="R740" s="33"/>
      <c r="S740" s="33"/>
      <c r="T740" s="33"/>
    </row>
    <row r="741" spans="2:20" ht="15.75" customHeight="1">
      <c r="B741" s="5"/>
      <c r="C741" s="5"/>
      <c r="D741" s="5"/>
      <c r="E741" s="5"/>
      <c r="F741" s="5"/>
      <c r="P741" s="33"/>
      <c r="Q741" s="33"/>
      <c r="R741" s="33"/>
      <c r="S741" s="33"/>
      <c r="T741" s="33"/>
    </row>
    <row r="742" spans="2:20" ht="15.75" customHeight="1">
      <c r="B742" s="5"/>
      <c r="C742" s="5"/>
      <c r="D742" s="5"/>
      <c r="E742" s="5"/>
      <c r="F742" s="5"/>
      <c r="P742" s="33"/>
      <c r="Q742" s="33"/>
      <c r="R742" s="33"/>
      <c r="S742" s="33"/>
      <c r="T742" s="33"/>
    </row>
    <row r="743" spans="2:20" ht="15.75" customHeight="1">
      <c r="B743" s="5"/>
      <c r="C743" s="5"/>
      <c r="D743" s="5"/>
      <c r="E743" s="5"/>
      <c r="F743" s="5"/>
      <c r="P743" s="33"/>
      <c r="Q743" s="33"/>
      <c r="R743" s="33"/>
      <c r="S743" s="33"/>
      <c r="T743" s="33"/>
    </row>
    <row r="744" spans="2:20" ht="15.75" customHeight="1">
      <c r="B744" s="5"/>
      <c r="C744" s="5"/>
      <c r="D744" s="5"/>
      <c r="E744" s="5"/>
      <c r="F744" s="5"/>
      <c r="P744" s="33"/>
      <c r="Q744" s="33"/>
      <c r="R744" s="33"/>
      <c r="S744" s="33"/>
      <c r="T744" s="33"/>
    </row>
    <row r="745" spans="2:20" ht="15.75" customHeight="1">
      <c r="B745" s="5"/>
      <c r="C745" s="5"/>
      <c r="D745" s="5"/>
      <c r="E745" s="5"/>
      <c r="F745" s="5"/>
      <c r="P745" s="33"/>
      <c r="Q745" s="33"/>
      <c r="R745" s="33"/>
      <c r="S745" s="33"/>
      <c r="T745" s="33"/>
    </row>
    <row r="746" spans="2:20" ht="15.75" customHeight="1">
      <c r="B746" s="5"/>
      <c r="C746" s="5"/>
      <c r="D746" s="5"/>
      <c r="E746" s="5"/>
      <c r="F746" s="5"/>
      <c r="P746" s="33"/>
      <c r="Q746" s="33"/>
      <c r="R746" s="33"/>
      <c r="S746" s="33"/>
      <c r="T746" s="33"/>
    </row>
    <row r="747" spans="2:20" ht="15.75" customHeight="1">
      <c r="B747" s="5"/>
      <c r="C747" s="5"/>
      <c r="D747" s="5"/>
      <c r="E747" s="5"/>
      <c r="F747" s="5"/>
      <c r="P747" s="33"/>
      <c r="Q747" s="33"/>
      <c r="R747" s="33"/>
      <c r="S747" s="33"/>
      <c r="T747" s="33"/>
    </row>
    <row r="748" spans="2:20" ht="15.75" customHeight="1">
      <c r="B748" s="5"/>
      <c r="C748" s="5"/>
      <c r="D748" s="5"/>
      <c r="E748" s="5"/>
      <c r="F748" s="5"/>
      <c r="P748" s="33"/>
      <c r="Q748" s="33"/>
      <c r="R748" s="33"/>
      <c r="S748" s="33"/>
      <c r="T748" s="33"/>
    </row>
    <row r="749" spans="2:20" ht="15.75" customHeight="1">
      <c r="B749" s="5"/>
      <c r="C749" s="5"/>
      <c r="D749" s="5"/>
      <c r="E749" s="5"/>
      <c r="F749" s="5"/>
      <c r="P749" s="33"/>
      <c r="Q749" s="33"/>
      <c r="R749" s="33"/>
      <c r="S749" s="33"/>
      <c r="T749" s="33"/>
    </row>
    <row r="750" spans="2:20" ht="15.75" customHeight="1">
      <c r="B750" s="5"/>
      <c r="C750" s="5"/>
      <c r="D750" s="5"/>
      <c r="E750" s="5"/>
      <c r="F750" s="5"/>
      <c r="P750" s="33"/>
      <c r="Q750" s="33"/>
      <c r="R750" s="33"/>
      <c r="S750" s="33"/>
      <c r="T750" s="33"/>
    </row>
    <row r="751" spans="2:20" ht="15.75" customHeight="1">
      <c r="B751" s="5"/>
      <c r="C751" s="5"/>
      <c r="D751" s="5"/>
      <c r="E751" s="5"/>
      <c r="F751" s="5"/>
      <c r="P751" s="33"/>
      <c r="Q751" s="33"/>
      <c r="R751" s="33"/>
      <c r="S751" s="33"/>
      <c r="T751" s="33"/>
    </row>
    <row r="752" spans="2:20" ht="15.75" customHeight="1">
      <c r="B752" s="5"/>
      <c r="C752" s="5"/>
      <c r="D752" s="5"/>
      <c r="E752" s="5"/>
      <c r="F752" s="5"/>
      <c r="P752" s="33"/>
      <c r="Q752" s="33"/>
      <c r="R752" s="33"/>
      <c r="S752" s="33"/>
      <c r="T752" s="33"/>
    </row>
    <row r="753" spans="2:20" ht="15.75" customHeight="1">
      <c r="B753" s="5"/>
      <c r="C753" s="5"/>
      <c r="D753" s="5"/>
      <c r="E753" s="5"/>
      <c r="F753" s="5"/>
      <c r="P753" s="33"/>
      <c r="Q753" s="33"/>
      <c r="R753" s="33"/>
      <c r="S753" s="33"/>
      <c r="T753" s="33"/>
    </row>
    <row r="754" spans="2:20" ht="15.75" customHeight="1">
      <c r="B754" s="5"/>
      <c r="C754" s="5"/>
      <c r="D754" s="5"/>
      <c r="E754" s="5"/>
      <c r="F754" s="5"/>
      <c r="P754" s="33"/>
      <c r="Q754" s="33"/>
      <c r="R754" s="33"/>
      <c r="S754" s="33"/>
      <c r="T754" s="33"/>
    </row>
    <row r="755" spans="2:20" ht="15.75" customHeight="1">
      <c r="B755" s="5"/>
      <c r="C755" s="5"/>
      <c r="D755" s="5"/>
      <c r="E755" s="5"/>
      <c r="F755" s="5"/>
      <c r="P755" s="33"/>
      <c r="Q755" s="33"/>
      <c r="R755" s="33"/>
      <c r="S755" s="33"/>
      <c r="T755" s="33"/>
    </row>
    <row r="756" spans="2:20" ht="15.75" customHeight="1">
      <c r="B756" s="5"/>
      <c r="C756" s="5"/>
      <c r="D756" s="5"/>
      <c r="E756" s="5"/>
      <c r="F756" s="5"/>
      <c r="P756" s="33"/>
      <c r="Q756" s="33"/>
      <c r="R756" s="33"/>
      <c r="S756" s="33"/>
      <c r="T756" s="33"/>
    </row>
    <row r="757" spans="2:20" ht="15.75" customHeight="1">
      <c r="B757" s="5"/>
      <c r="C757" s="5"/>
      <c r="D757" s="5"/>
      <c r="E757" s="5"/>
      <c r="F757" s="5"/>
      <c r="P757" s="33"/>
      <c r="Q757" s="33"/>
      <c r="R757" s="33"/>
      <c r="S757" s="33"/>
      <c r="T757" s="33"/>
    </row>
    <row r="758" spans="2:20" ht="15.75" customHeight="1">
      <c r="B758" s="5"/>
      <c r="C758" s="5"/>
      <c r="D758" s="5"/>
      <c r="E758" s="5"/>
      <c r="F758" s="5"/>
      <c r="P758" s="33"/>
      <c r="Q758" s="33"/>
      <c r="R758" s="33"/>
      <c r="S758" s="33"/>
      <c r="T758" s="33"/>
    </row>
    <row r="759" spans="2:20" ht="15.75" customHeight="1">
      <c r="B759" s="5"/>
      <c r="C759" s="5"/>
      <c r="D759" s="5"/>
      <c r="E759" s="5"/>
      <c r="F759" s="5"/>
      <c r="P759" s="33"/>
      <c r="Q759" s="33"/>
      <c r="R759" s="33"/>
      <c r="S759" s="33"/>
      <c r="T759" s="33"/>
    </row>
    <row r="760" spans="2:20" ht="15.75" customHeight="1">
      <c r="B760" s="5"/>
      <c r="C760" s="5"/>
      <c r="D760" s="5"/>
      <c r="E760" s="5"/>
      <c r="F760" s="5"/>
      <c r="P760" s="33"/>
      <c r="Q760" s="33"/>
      <c r="R760" s="33"/>
      <c r="S760" s="33"/>
      <c r="T760" s="33"/>
    </row>
    <row r="761" spans="2:20" ht="15.75" customHeight="1">
      <c r="B761" s="5"/>
      <c r="C761" s="5"/>
      <c r="D761" s="5"/>
      <c r="E761" s="5"/>
      <c r="F761" s="5"/>
      <c r="P761" s="33"/>
      <c r="Q761" s="33"/>
      <c r="R761" s="33"/>
      <c r="S761" s="33"/>
      <c r="T761" s="33"/>
    </row>
    <row r="762" spans="2:20" ht="15.75" customHeight="1">
      <c r="B762" s="5"/>
      <c r="C762" s="5"/>
      <c r="D762" s="5"/>
      <c r="E762" s="5"/>
      <c r="F762" s="5"/>
      <c r="P762" s="33"/>
      <c r="Q762" s="33"/>
      <c r="R762" s="33"/>
      <c r="S762" s="33"/>
      <c r="T762" s="33"/>
    </row>
    <row r="763" spans="2:20" ht="15.75" customHeight="1">
      <c r="B763" s="5"/>
      <c r="C763" s="5"/>
      <c r="D763" s="5"/>
      <c r="E763" s="5"/>
      <c r="F763" s="5"/>
      <c r="P763" s="33"/>
      <c r="Q763" s="33"/>
      <c r="R763" s="33"/>
      <c r="S763" s="33"/>
      <c r="T763" s="33"/>
    </row>
    <row r="764" spans="2:20" ht="15.75" customHeight="1">
      <c r="B764" s="5"/>
      <c r="C764" s="5"/>
      <c r="D764" s="5"/>
      <c r="E764" s="5"/>
      <c r="F764" s="5"/>
      <c r="P764" s="33"/>
      <c r="Q764" s="33"/>
      <c r="R764" s="33"/>
      <c r="S764" s="33"/>
      <c r="T764" s="33"/>
    </row>
    <row r="765" spans="2:20" ht="15.75" customHeight="1">
      <c r="B765" s="5"/>
      <c r="C765" s="5"/>
      <c r="D765" s="5"/>
      <c r="E765" s="5"/>
      <c r="F765" s="5"/>
      <c r="P765" s="33"/>
      <c r="Q765" s="33"/>
      <c r="R765" s="33"/>
      <c r="S765" s="33"/>
      <c r="T765" s="33"/>
    </row>
    <row r="766" spans="2:20" ht="15.75" customHeight="1">
      <c r="B766" s="5"/>
      <c r="C766" s="5"/>
      <c r="D766" s="5"/>
      <c r="E766" s="5"/>
      <c r="F766" s="5"/>
      <c r="P766" s="33"/>
      <c r="Q766" s="33"/>
      <c r="R766" s="33"/>
      <c r="S766" s="33"/>
      <c r="T766" s="33"/>
    </row>
    <row r="767" spans="2:20" ht="15.75" customHeight="1">
      <c r="B767" s="5"/>
      <c r="C767" s="5"/>
      <c r="D767" s="5"/>
      <c r="E767" s="5"/>
      <c r="F767" s="5"/>
      <c r="P767" s="33"/>
      <c r="Q767" s="33"/>
      <c r="R767" s="33"/>
      <c r="S767" s="33"/>
      <c r="T767" s="33"/>
    </row>
    <row r="768" spans="2:20" ht="15.75" customHeight="1">
      <c r="B768" s="5"/>
      <c r="C768" s="5"/>
      <c r="D768" s="5"/>
      <c r="E768" s="5"/>
      <c r="F768" s="5"/>
      <c r="P768" s="33"/>
      <c r="Q768" s="33"/>
      <c r="R768" s="33"/>
      <c r="S768" s="33"/>
      <c r="T768" s="33"/>
    </row>
    <row r="769" spans="2:20" ht="15.75" customHeight="1">
      <c r="B769" s="5"/>
      <c r="C769" s="5"/>
      <c r="D769" s="5"/>
      <c r="E769" s="5"/>
      <c r="F769" s="5"/>
      <c r="P769" s="33"/>
      <c r="Q769" s="33"/>
      <c r="R769" s="33"/>
      <c r="S769" s="33"/>
      <c r="T769" s="33"/>
    </row>
    <row r="770" spans="2:20" ht="15.75" customHeight="1">
      <c r="B770" s="5"/>
      <c r="C770" s="5"/>
      <c r="D770" s="5"/>
      <c r="E770" s="5"/>
      <c r="F770" s="5"/>
      <c r="P770" s="33"/>
      <c r="Q770" s="33"/>
      <c r="R770" s="33"/>
      <c r="S770" s="33"/>
      <c r="T770" s="33"/>
    </row>
    <row r="771" spans="2:20" ht="15.75" customHeight="1">
      <c r="B771" s="5"/>
      <c r="C771" s="5"/>
      <c r="D771" s="5"/>
      <c r="E771" s="5"/>
      <c r="F771" s="5"/>
      <c r="P771" s="33"/>
      <c r="Q771" s="33"/>
      <c r="R771" s="33"/>
      <c r="S771" s="33"/>
      <c r="T771" s="33"/>
    </row>
    <row r="772" spans="2:20" ht="15.75" customHeight="1">
      <c r="B772" s="5"/>
      <c r="C772" s="5"/>
      <c r="D772" s="5"/>
      <c r="E772" s="5"/>
      <c r="F772" s="5"/>
      <c r="P772" s="33"/>
      <c r="Q772" s="33"/>
      <c r="R772" s="33"/>
      <c r="S772" s="33"/>
      <c r="T772" s="33"/>
    </row>
    <row r="773" spans="2:20" ht="15.75" customHeight="1">
      <c r="B773" s="5"/>
      <c r="C773" s="5"/>
      <c r="D773" s="5"/>
      <c r="E773" s="5"/>
      <c r="F773" s="5"/>
      <c r="P773" s="33"/>
      <c r="Q773" s="33"/>
      <c r="R773" s="33"/>
      <c r="S773" s="33"/>
      <c r="T773" s="33"/>
    </row>
    <row r="774" spans="2:20" ht="15.75" customHeight="1">
      <c r="B774" s="5"/>
      <c r="C774" s="5"/>
      <c r="D774" s="5"/>
      <c r="E774" s="5"/>
      <c r="F774" s="5"/>
      <c r="P774" s="33"/>
      <c r="Q774" s="33"/>
      <c r="R774" s="33"/>
      <c r="S774" s="33"/>
      <c r="T774" s="33"/>
    </row>
    <row r="775" spans="2:20" ht="15.75" customHeight="1">
      <c r="B775" s="5"/>
      <c r="C775" s="5"/>
      <c r="D775" s="5"/>
      <c r="E775" s="5"/>
      <c r="F775" s="5"/>
      <c r="P775" s="33"/>
      <c r="Q775" s="33"/>
      <c r="R775" s="33"/>
      <c r="S775" s="33"/>
      <c r="T775" s="33"/>
    </row>
    <row r="776" spans="2:20" ht="15.75" customHeight="1">
      <c r="B776" s="5"/>
      <c r="C776" s="5"/>
      <c r="D776" s="5"/>
      <c r="E776" s="5"/>
      <c r="F776" s="5"/>
      <c r="P776" s="33"/>
      <c r="Q776" s="33"/>
      <c r="R776" s="33"/>
      <c r="S776" s="33"/>
      <c r="T776" s="33"/>
    </row>
    <row r="777" spans="2:20" ht="15.75" customHeight="1">
      <c r="B777" s="5"/>
      <c r="C777" s="5"/>
      <c r="D777" s="5"/>
      <c r="E777" s="5"/>
      <c r="F777" s="5"/>
      <c r="P777" s="33"/>
      <c r="Q777" s="33"/>
      <c r="R777" s="33"/>
      <c r="S777" s="33"/>
      <c r="T777" s="33"/>
    </row>
    <row r="778" spans="2:20" ht="15.75" customHeight="1">
      <c r="B778" s="5"/>
      <c r="C778" s="5"/>
      <c r="D778" s="5"/>
      <c r="E778" s="5"/>
      <c r="F778" s="5"/>
      <c r="P778" s="33"/>
      <c r="Q778" s="33"/>
      <c r="R778" s="33"/>
      <c r="S778" s="33"/>
      <c r="T778" s="33"/>
    </row>
    <row r="779" spans="2:20" ht="15.75" customHeight="1">
      <c r="B779" s="5"/>
      <c r="C779" s="5"/>
      <c r="D779" s="5"/>
      <c r="E779" s="5"/>
      <c r="F779" s="5"/>
      <c r="P779" s="33"/>
      <c r="Q779" s="33"/>
      <c r="R779" s="33"/>
      <c r="S779" s="33"/>
      <c r="T779" s="33"/>
    </row>
    <row r="780" spans="2:20" ht="15.75" customHeight="1">
      <c r="B780" s="5"/>
      <c r="C780" s="5"/>
      <c r="D780" s="5"/>
      <c r="E780" s="5"/>
      <c r="F780" s="5"/>
      <c r="P780" s="33"/>
      <c r="Q780" s="33"/>
      <c r="R780" s="33"/>
      <c r="S780" s="33"/>
      <c r="T780" s="33"/>
    </row>
    <row r="781" spans="2:20" ht="15.75" customHeight="1">
      <c r="B781" s="5"/>
      <c r="C781" s="5"/>
      <c r="D781" s="5"/>
      <c r="E781" s="5"/>
      <c r="F781" s="5"/>
      <c r="P781" s="33"/>
      <c r="Q781" s="33"/>
      <c r="R781" s="33"/>
      <c r="S781" s="33"/>
      <c r="T781" s="33"/>
    </row>
    <row r="782" spans="2:20" ht="15.75" customHeight="1">
      <c r="B782" s="5"/>
      <c r="C782" s="5"/>
      <c r="D782" s="5"/>
      <c r="E782" s="5"/>
      <c r="F782" s="5"/>
      <c r="P782" s="33"/>
      <c r="Q782" s="33"/>
      <c r="R782" s="33"/>
      <c r="S782" s="33"/>
      <c r="T782" s="33"/>
    </row>
    <row r="783" spans="2:20" ht="15.75" customHeight="1">
      <c r="B783" s="5"/>
      <c r="C783" s="5"/>
      <c r="D783" s="5"/>
      <c r="E783" s="5"/>
      <c r="F783" s="5"/>
      <c r="P783" s="33"/>
      <c r="Q783" s="33"/>
      <c r="R783" s="33"/>
      <c r="S783" s="33"/>
      <c r="T783" s="33"/>
    </row>
    <row r="784" spans="2:20" ht="15.75" customHeight="1">
      <c r="B784" s="5"/>
      <c r="C784" s="5"/>
      <c r="D784" s="5"/>
      <c r="E784" s="5"/>
      <c r="F784" s="5"/>
      <c r="P784" s="33"/>
      <c r="Q784" s="33"/>
      <c r="R784" s="33"/>
      <c r="S784" s="33"/>
      <c r="T784" s="33"/>
    </row>
    <row r="785" spans="2:20" ht="15.75" customHeight="1">
      <c r="B785" s="5"/>
      <c r="C785" s="5"/>
      <c r="D785" s="5"/>
      <c r="E785" s="5"/>
      <c r="F785" s="5"/>
      <c r="P785" s="33"/>
      <c r="Q785" s="33"/>
      <c r="R785" s="33"/>
      <c r="S785" s="33"/>
      <c r="T785" s="33"/>
    </row>
    <row r="786" spans="2:20" ht="15.75" customHeight="1">
      <c r="B786" s="5"/>
      <c r="C786" s="5"/>
      <c r="D786" s="5"/>
      <c r="E786" s="5"/>
      <c r="F786" s="5"/>
      <c r="P786" s="33"/>
      <c r="Q786" s="33"/>
      <c r="R786" s="33"/>
      <c r="S786" s="33"/>
      <c r="T786" s="33"/>
    </row>
    <row r="787" spans="2:20" ht="15.75" customHeight="1">
      <c r="B787" s="5"/>
      <c r="C787" s="5"/>
      <c r="D787" s="5"/>
      <c r="E787" s="5"/>
      <c r="F787" s="5"/>
      <c r="P787" s="33"/>
      <c r="Q787" s="33"/>
      <c r="R787" s="33"/>
      <c r="S787" s="33"/>
      <c r="T787" s="33"/>
    </row>
    <row r="788" spans="2:20" ht="15.75" customHeight="1">
      <c r="B788" s="5"/>
      <c r="C788" s="5"/>
      <c r="D788" s="5"/>
      <c r="E788" s="5"/>
      <c r="F788" s="5"/>
      <c r="P788" s="33"/>
      <c r="Q788" s="33"/>
      <c r="R788" s="33"/>
      <c r="S788" s="33"/>
      <c r="T788" s="33"/>
    </row>
    <row r="789" spans="2:20" ht="15.75" customHeight="1">
      <c r="B789" s="5"/>
      <c r="C789" s="5"/>
      <c r="D789" s="5"/>
      <c r="E789" s="5"/>
      <c r="F789" s="5"/>
      <c r="P789" s="33"/>
      <c r="Q789" s="33"/>
      <c r="R789" s="33"/>
      <c r="S789" s="33"/>
      <c r="T789" s="33"/>
    </row>
    <row r="790" spans="2:20" ht="15.75" customHeight="1">
      <c r="B790" s="5"/>
      <c r="C790" s="5"/>
      <c r="D790" s="5"/>
      <c r="E790" s="5"/>
      <c r="F790" s="5"/>
      <c r="P790" s="33"/>
      <c r="Q790" s="33"/>
      <c r="R790" s="33"/>
      <c r="S790" s="33"/>
      <c r="T790" s="33"/>
    </row>
    <row r="791" spans="2:20" ht="15.75" customHeight="1">
      <c r="B791" s="5"/>
      <c r="C791" s="5"/>
      <c r="D791" s="5"/>
      <c r="E791" s="5"/>
      <c r="F791" s="5"/>
      <c r="P791" s="33"/>
      <c r="Q791" s="33"/>
      <c r="R791" s="33"/>
      <c r="S791" s="33"/>
      <c r="T791" s="33"/>
    </row>
    <row r="792" spans="2:20" ht="15.75" customHeight="1">
      <c r="B792" s="5"/>
      <c r="C792" s="5"/>
      <c r="D792" s="5"/>
      <c r="E792" s="5"/>
      <c r="F792" s="5"/>
      <c r="P792" s="33"/>
      <c r="Q792" s="33"/>
      <c r="R792" s="33"/>
      <c r="S792" s="33"/>
      <c r="T792" s="33"/>
    </row>
    <row r="793" spans="2:20" ht="15.75" customHeight="1">
      <c r="B793" s="5"/>
      <c r="C793" s="5"/>
      <c r="D793" s="5"/>
      <c r="E793" s="5"/>
      <c r="F793" s="5"/>
      <c r="P793" s="33"/>
      <c r="Q793" s="33"/>
      <c r="R793" s="33"/>
      <c r="S793" s="33"/>
      <c r="T793" s="33"/>
    </row>
    <row r="794" spans="2:20" ht="15.75" customHeight="1">
      <c r="B794" s="5"/>
      <c r="C794" s="5"/>
      <c r="D794" s="5"/>
      <c r="E794" s="5"/>
      <c r="F794" s="5"/>
      <c r="P794" s="33"/>
      <c r="Q794" s="33"/>
      <c r="R794" s="33"/>
      <c r="S794" s="33"/>
      <c r="T794" s="33"/>
    </row>
    <row r="795" spans="2:20" ht="15.75" customHeight="1">
      <c r="B795" s="5"/>
      <c r="C795" s="5"/>
      <c r="D795" s="5"/>
      <c r="E795" s="5"/>
      <c r="F795" s="5"/>
      <c r="P795" s="33"/>
      <c r="Q795" s="33"/>
      <c r="R795" s="33"/>
      <c r="S795" s="33"/>
      <c r="T795" s="33"/>
    </row>
    <row r="796" spans="2:20" ht="15.75" customHeight="1">
      <c r="B796" s="5"/>
      <c r="C796" s="5"/>
      <c r="D796" s="5"/>
      <c r="E796" s="5"/>
      <c r="F796" s="5"/>
      <c r="P796" s="33"/>
      <c r="Q796" s="33"/>
      <c r="R796" s="33"/>
      <c r="S796" s="33"/>
      <c r="T796" s="33"/>
    </row>
    <row r="797" spans="2:20" ht="15.75" customHeight="1">
      <c r="B797" s="5"/>
      <c r="C797" s="5"/>
      <c r="D797" s="5"/>
      <c r="E797" s="5"/>
      <c r="F797" s="5"/>
      <c r="P797" s="33"/>
      <c r="Q797" s="33"/>
      <c r="R797" s="33"/>
      <c r="S797" s="33"/>
      <c r="T797" s="33"/>
    </row>
    <row r="798" spans="2:20" ht="15.75" customHeight="1">
      <c r="B798" s="5"/>
      <c r="C798" s="5"/>
      <c r="D798" s="5"/>
      <c r="E798" s="5"/>
      <c r="F798" s="5"/>
      <c r="P798" s="33"/>
      <c r="Q798" s="33"/>
      <c r="R798" s="33"/>
      <c r="S798" s="33"/>
      <c r="T798" s="33"/>
    </row>
    <row r="799" spans="2:20" ht="15.75" customHeight="1">
      <c r="B799" s="5"/>
      <c r="C799" s="5"/>
      <c r="D799" s="5"/>
      <c r="E799" s="5"/>
      <c r="F799" s="5"/>
      <c r="P799" s="33"/>
      <c r="Q799" s="33"/>
      <c r="R799" s="33"/>
      <c r="S799" s="33"/>
      <c r="T799" s="33"/>
    </row>
    <row r="800" spans="2:20" ht="15.75" customHeight="1">
      <c r="B800" s="5"/>
      <c r="C800" s="5"/>
      <c r="D800" s="5"/>
      <c r="E800" s="5"/>
      <c r="F800" s="5"/>
      <c r="P800" s="33"/>
      <c r="Q800" s="33"/>
      <c r="R800" s="33"/>
      <c r="S800" s="33"/>
      <c r="T800" s="33"/>
    </row>
    <row r="801" spans="2:20" ht="15.75" customHeight="1">
      <c r="B801" s="5"/>
      <c r="C801" s="5"/>
      <c r="D801" s="5"/>
      <c r="E801" s="5"/>
      <c r="F801" s="5"/>
      <c r="P801" s="33"/>
      <c r="Q801" s="33"/>
      <c r="R801" s="33"/>
      <c r="S801" s="33"/>
      <c r="T801" s="33"/>
    </row>
    <row r="802" spans="2:20" ht="15.75" customHeight="1">
      <c r="B802" s="5"/>
      <c r="C802" s="5"/>
      <c r="D802" s="5"/>
      <c r="E802" s="5"/>
      <c r="F802" s="5"/>
      <c r="P802" s="33"/>
      <c r="Q802" s="33"/>
      <c r="R802" s="33"/>
      <c r="S802" s="33"/>
      <c r="T802" s="33"/>
    </row>
    <row r="803" spans="2:20" ht="15.75" customHeight="1">
      <c r="B803" s="5"/>
      <c r="C803" s="5"/>
      <c r="D803" s="5"/>
      <c r="E803" s="5"/>
      <c r="F803" s="5"/>
      <c r="P803" s="33"/>
      <c r="Q803" s="33"/>
      <c r="R803" s="33"/>
      <c r="S803" s="33"/>
      <c r="T803" s="33"/>
    </row>
    <row r="804" spans="2:20" ht="15.75" customHeight="1">
      <c r="B804" s="5"/>
      <c r="C804" s="5"/>
      <c r="D804" s="5"/>
      <c r="E804" s="5"/>
      <c r="F804" s="5"/>
      <c r="P804" s="33"/>
      <c r="Q804" s="33"/>
      <c r="R804" s="33"/>
      <c r="S804" s="33"/>
      <c r="T804" s="33"/>
    </row>
    <row r="805" spans="2:20" ht="15.75" customHeight="1">
      <c r="B805" s="5"/>
      <c r="C805" s="5"/>
      <c r="D805" s="5"/>
      <c r="E805" s="5"/>
      <c r="F805" s="5"/>
      <c r="P805" s="33"/>
      <c r="Q805" s="33"/>
      <c r="R805" s="33"/>
      <c r="S805" s="33"/>
      <c r="T805" s="33"/>
    </row>
    <row r="806" spans="2:20" ht="15.75" customHeight="1">
      <c r="B806" s="5"/>
      <c r="C806" s="5"/>
      <c r="D806" s="5"/>
      <c r="E806" s="5"/>
      <c r="F806" s="5"/>
      <c r="P806" s="33"/>
      <c r="Q806" s="33"/>
      <c r="R806" s="33"/>
      <c r="S806" s="33"/>
      <c r="T806" s="33"/>
    </row>
    <row r="807" spans="2:20" ht="15.75" customHeight="1">
      <c r="B807" s="5"/>
      <c r="C807" s="5"/>
      <c r="D807" s="5"/>
      <c r="E807" s="5"/>
      <c r="F807" s="5"/>
      <c r="P807" s="33"/>
      <c r="Q807" s="33"/>
      <c r="R807" s="33"/>
      <c r="S807" s="33"/>
      <c r="T807" s="33"/>
    </row>
    <row r="808" spans="2:20" ht="15.75" customHeight="1">
      <c r="B808" s="5"/>
      <c r="C808" s="5"/>
      <c r="D808" s="5"/>
      <c r="E808" s="5"/>
      <c r="F808" s="5"/>
      <c r="P808" s="33"/>
      <c r="Q808" s="33"/>
      <c r="R808" s="33"/>
      <c r="S808" s="33"/>
      <c r="T808" s="33"/>
    </row>
    <row r="809" spans="2:20" ht="15.75" customHeight="1">
      <c r="B809" s="5"/>
      <c r="C809" s="5"/>
      <c r="D809" s="5"/>
      <c r="E809" s="5"/>
      <c r="F809" s="5"/>
      <c r="P809" s="33"/>
      <c r="Q809" s="33"/>
      <c r="R809" s="33"/>
      <c r="S809" s="33"/>
      <c r="T809" s="33"/>
    </row>
    <row r="810" spans="2:20" ht="15.75" customHeight="1">
      <c r="B810" s="5"/>
      <c r="C810" s="5"/>
      <c r="D810" s="5"/>
      <c r="E810" s="5"/>
      <c r="F810" s="5"/>
      <c r="P810" s="33"/>
      <c r="Q810" s="33"/>
      <c r="R810" s="33"/>
      <c r="S810" s="33"/>
      <c r="T810" s="33"/>
    </row>
    <row r="811" spans="2:20" ht="15.75" customHeight="1">
      <c r="B811" s="5"/>
      <c r="C811" s="5"/>
      <c r="D811" s="5"/>
      <c r="E811" s="5"/>
      <c r="F811" s="5"/>
      <c r="P811" s="33"/>
      <c r="Q811" s="33"/>
      <c r="R811" s="33"/>
      <c r="S811" s="33"/>
      <c r="T811" s="33"/>
    </row>
    <row r="812" spans="2:20" ht="15.75" customHeight="1">
      <c r="B812" s="5"/>
      <c r="C812" s="5"/>
      <c r="D812" s="5"/>
      <c r="E812" s="5"/>
      <c r="F812" s="5"/>
      <c r="P812" s="33"/>
      <c r="Q812" s="33"/>
      <c r="R812" s="33"/>
      <c r="S812" s="33"/>
      <c r="T812" s="33"/>
    </row>
    <row r="813" spans="2:20" ht="15.75" customHeight="1">
      <c r="B813" s="5"/>
      <c r="C813" s="5"/>
      <c r="D813" s="5"/>
      <c r="E813" s="5"/>
      <c r="F813" s="5"/>
      <c r="P813" s="33"/>
      <c r="Q813" s="33"/>
      <c r="R813" s="33"/>
      <c r="S813" s="33"/>
      <c r="T813" s="33"/>
    </row>
    <row r="814" spans="2:20" ht="15.75" customHeight="1">
      <c r="B814" s="5"/>
      <c r="C814" s="5"/>
      <c r="D814" s="5"/>
      <c r="E814" s="5"/>
      <c r="F814" s="5"/>
      <c r="P814" s="33"/>
      <c r="Q814" s="33"/>
      <c r="R814" s="33"/>
      <c r="S814" s="33"/>
      <c r="T814" s="33"/>
    </row>
    <row r="815" spans="2:20" ht="15.75" customHeight="1">
      <c r="B815" s="5"/>
      <c r="C815" s="5"/>
      <c r="D815" s="5"/>
      <c r="E815" s="5"/>
      <c r="F815" s="5"/>
      <c r="P815" s="33"/>
      <c r="Q815" s="33"/>
      <c r="R815" s="33"/>
      <c r="S815" s="33"/>
      <c r="T815" s="33"/>
    </row>
    <row r="816" spans="2:20" ht="15.75" customHeight="1">
      <c r="B816" s="5"/>
      <c r="C816" s="5"/>
      <c r="D816" s="5"/>
      <c r="E816" s="5"/>
      <c r="F816" s="5"/>
      <c r="P816" s="33"/>
      <c r="Q816" s="33"/>
      <c r="R816" s="33"/>
      <c r="S816" s="33"/>
      <c r="T816" s="33"/>
    </row>
    <row r="817" spans="2:20" ht="15.75" customHeight="1">
      <c r="B817" s="5"/>
      <c r="C817" s="5"/>
      <c r="D817" s="5"/>
      <c r="E817" s="5"/>
      <c r="F817" s="5"/>
      <c r="P817" s="33"/>
      <c r="Q817" s="33"/>
      <c r="R817" s="33"/>
      <c r="S817" s="33"/>
      <c r="T817" s="33"/>
    </row>
    <row r="818" spans="2:20" ht="15.75" customHeight="1">
      <c r="B818" s="5"/>
      <c r="C818" s="5"/>
      <c r="D818" s="5"/>
      <c r="E818" s="5"/>
      <c r="F818" s="5"/>
      <c r="P818" s="33"/>
      <c r="Q818" s="33"/>
      <c r="R818" s="33"/>
      <c r="S818" s="33"/>
      <c r="T818" s="33"/>
    </row>
    <row r="819" spans="2:20" ht="15.75" customHeight="1">
      <c r="B819" s="5"/>
      <c r="C819" s="5"/>
      <c r="D819" s="5"/>
      <c r="E819" s="5"/>
      <c r="F819" s="5"/>
      <c r="P819" s="33"/>
      <c r="Q819" s="33"/>
      <c r="R819" s="33"/>
      <c r="S819" s="33"/>
      <c r="T819" s="33"/>
    </row>
    <row r="820" spans="2:20" ht="15.75" customHeight="1">
      <c r="B820" s="5"/>
      <c r="C820" s="5"/>
      <c r="D820" s="5"/>
      <c r="E820" s="5"/>
      <c r="F820" s="5"/>
      <c r="P820" s="33"/>
      <c r="Q820" s="33"/>
      <c r="R820" s="33"/>
      <c r="S820" s="33"/>
      <c r="T820" s="33"/>
    </row>
    <row r="821" spans="2:20" ht="15.75" customHeight="1">
      <c r="B821" s="5"/>
      <c r="C821" s="5"/>
      <c r="D821" s="5"/>
      <c r="E821" s="5"/>
      <c r="F821" s="5"/>
      <c r="P821" s="33"/>
      <c r="Q821" s="33"/>
      <c r="R821" s="33"/>
      <c r="S821" s="33"/>
      <c r="T821" s="33"/>
    </row>
    <row r="822" spans="2:20" ht="15.75" customHeight="1">
      <c r="B822" s="5"/>
      <c r="C822" s="5"/>
      <c r="D822" s="5"/>
      <c r="E822" s="5"/>
      <c r="F822" s="5"/>
      <c r="P822" s="33"/>
      <c r="Q822" s="33"/>
      <c r="R822" s="33"/>
      <c r="S822" s="33"/>
      <c r="T822" s="33"/>
    </row>
    <row r="823" spans="2:20" ht="15.75" customHeight="1">
      <c r="B823" s="5"/>
      <c r="C823" s="5"/>
      <c r="D823" s="5"/>
      <c r="E823" s="5"/>
      <c r="F823" s="5"/>
      <c r="P823" s="33"/>
      <c r="Q823" s="33"/>
      <c r="R823" s="33"/>
      <c r="S823" s="33"/>
      <c r="T823" s="33"/>
    </row>
    <row r="824" spans="2:20" ht="15.75" customHeight="1">
      <c r="B824" s="5"/>
      <c r="C824" s="5"/>
      <c r="D824" s="5"/>
      <c r="E824" s="5"/>
      <c r="F824" s="5"/>
      <c r="P824" s="33"/>
      <c r="Q824" s="33"/>
      <c r="R824" s="33"/>
      <c r="S824" s="33"/>
      <c r="T824" s="33"/>
    </row>
    <row r="825" spans="2:20" ht="15.75" customHeight="1">
      <c r="B825" s="5"/>
      <c r="C825" s="5"/>
      <c r="D825" s="5"/>
      <c r="E825" s="5"/>
      <c r="F825" s="5"/>
      <c r="P825" s="33"/>
      <c r="Q825" s="33"/>
      <c r="R825" s="33"/>
      <c r="S825" s="33"/>
      <c r="T825" s="33"/>
    </row>
    <row r="826" spans="2:20" ht="15.75" customHeight="1">
      <c r="B826" s="5"/>
      <c r="C826" s="5"/>
      <c r="D826" s="5"/>
      <c r="E826" s="5"/>
      <c r="F826" s="5"/>
      <c r="P826" s="33"/>
      <c r="Q826" s="33"/>
      <c r="R826" s="33"/>
      <c r="S826" s="33"/>
      <c r="T826" s="33"/>
    </row>
    <row r="827" spans="2:20" ht="15.75" customHeight="1">
      <c r="B827" s="5"/>
      <c r="C827" s="5"/>
      <c r="D827" s="5"/>
      <c r="E827" s="5"/>
      <c r="F827" s="5"/>
      <c r="P827" s="33"/>
      <c r="Q827" s="33"/>
      <c r="R827" s="33"/>
      <c r="S827" s="33"/>
      <c r="T827" s="33"/>
    </row>
    <row r="828" spans="2:20" ht="15.75" customHeight="1">
      <c r="B828" s="5"/>
      <c r="C828" s="5"/>
      <c r="D828" s="5"/>
      <c r="E828" s="5"/>
      <c r="F828" s="5"/>
      <c r="P828" s="33"/>
      <c r="Q828" s="33"/>
      <c r="R828" s="33"/>
      <c r="S828" s="33"/>
      <c r="T828" s="33"/>
    </row>
    <row r="829" spans="2:20" ht="15.75" customHeight="1">
      <c r="B829" s="5"/>
      <c r="C829" s="5"/>
      <c r="D829" s="5"/>
      <c r="E829" s="5"/>
      <c r="F829" s="5"/>
      <c r="P829" s="33"/>
      <c r="Q829" s="33"/>
      <c r="R829" s="33"/>
      <c r="S829" s="33"/>
      <c r="T829" s="33"/>
    </row>
    <row r="830" spans="2:20" ht="15.75" customHeight="1">
      <c r="B830" s="5"/>
      <c r="C830" s="5"/>
      <c r="D830" s="5"/>
      <c r="E830" s="5"/>
      <c r="F830" s="5"/>
      <c r="P830" s="33"/>
      <c r="Q830" s="33"/>
      <c r="R830" s="33"/>
      <c r="S830" s="33"/>
      <c r="T830" s="33"/>
    </row>
    <row r="831" spans="2:20" ht="15.75" customHeight="1">
      <c r="B831" s="5"/>
      <c r="C831" s="5"/>
      <c r="D831" s="5"/>
      <c r="E831" s="5"/>
      <c r="F831" s="5"/>
      <c r="P831" s="33"/>
      <c r="Q831" s="33"/>
      <c r="R831" s="33"/>
      <c r="S831" s="33"/>
      <c r="T831" s="33"/>
    </row>
    <row r="832" spans="2:20" ht="15.75" customHeight="1">
      <c r="B832" s="5"/>
      <c r="C832" s="5"/>
      <c r="D832" s="5"/>
      <c r="E832" s="5"/>
      <c r="F832" s="5"/>
      <c r="P832" s="33"/>
      <c r="Q832" s="33"/>
      <c r="R832" s="33"/>
      <c r="S832" s="33"/>
      <c r="T832" s="33"/>
    </row>
    <row r="833" spans="2:20" ht="15.75" customHeight="1">
      <c r="B833" s="5"/>
      <c r="C833" s="5"/>
      <c r="D833" s="5"/>
      <c r="E833" s="5"/>
      <c r="F833" s="5"/>
      <c r="P833" s="33"/>
      <c r="Q833" s="33"/>
      <c r="R833" s="33"/>
      <c r="S833" s="33"/>
      <c r="T833" s="33"/>
    </row>
    <row r="834" spans="2:20" ht="15.75" customHeight="1">
      <c r="B834" s="5"/>
      <c r="C834" s="5"/>
      <c r="D834" s="5"/>
      <c r="E834" s="5"/>
      <c r="F834" s="5"/>
      <c r="P834" s="33"/>
      <c r="Q834" s="33"/>
      <c r="R834" s="33"/>
      <c r="S834" s="33"/>
      <c r="T834" s="33"/>
    </row>
    <row r="835" spans="2:20" ht="15.75" customHeight="1">
      <c r="B835" s="5"/>
      <c r="C835" s="5"/>
      <c r="D835" s="5"/>
      <c r="E835" s="5"/>
      <c r="F835" s="5"/>
      <c r="P835" s="33"/>
      <c r="Q835" s="33"/>
      <c r="R835" s="33"/>
      <c r="S835" s="33"/>
      <c r="T835" s="33"/>
    </row>
    <row r="836" spans="2:20" ht="15.75" customHeight="1">
      <c r="B836" s="5"/>
      <c r="C836" s="5"/>
      <c r="D836" s="5"/>
      <c r="E836" s="5"/>
      <c r="F836" s="5"/>
      <c r="P836" s="33"/>
      <c r="Q836" s="33"/>
      <c r="R836" s="33"/>
      <c r="S836" s="33"/>
      <c r="T836" s="33"/>
    </row>
    <row r="837" spans="2:20" ht="15.75" customHeight="1">
      <c r="B837" s="5"/>
      <c r="C837" s="5"/>
      <c r="D837" s="5"/>
      <c r="E837" s="5"/>
      <c r="F837" s="5"/>
      <c r="P837" s="33"/>
      <c r="Q837" s="33"/>
      <c r="R837" s="33"/>
      <c r="S837" s="33"/>
      <c r="T837" s="33"/>
    </row>
    <row r="838" spans="2:20" ht="15.75" customHeight="1">
      <c r="B838" s="5"/>
      <c r="C838" s="5"/>
      <c r="D838" s="5"/>
      <c r="E838" s="5"/>
      <c r="F838" s="5"/>
      <c r="P838" s="33"/>
      <c r="Q838" s="33"/>
      <c r="R838" s="33"/>
      <c r="S838" s="33"/>
      <c r="T838" s="33"/>
    </row>
    <row r="839" spans="2:20" ht="15.75" customHeight="1">
      <c r="B839" s="5"/>
      <c r="C839" s="5"/>
      <c r="D839" s="5"/>
      <c r="E839" s="5"/>
      <c r="F839" s="5"/>
      <c r="P839" s="33"/>
      <c r="Q839" s="33"/>
      <c r="R839" s="33"/>
      <c r="S839" s="33"/>
      <c r="T839" s="33"/>
    </row>
    <row r="840" spans="2:20" ht="15.75" customHeight="1">
      <c r="B840" s="5"/>
      <c r="C840" s="5"/>
      <c r="D840" s="5"/>
      <c r="E840" s="5"/>
      <c r="F840" s="5"/>
      <c r="P840" s="33"/>
      <c r="Q840" s="33"/>
      <c r="R840" s="33"/>
      <c r="S840" s="33"/>
      <c r="T840" s="33"/>
    </row>
    <row r="841" spans="2:20" ht="15.75" customHeight="1">
      <c r="B841" s="5"/>
      <c r="C841" s="5"/>
      <c r="D841" s="5"/>
      <c r="E841" s="5"/>
      <c r="F841" s="5"/>
      <c r="P841" s="33"/>
      <c r="Q841" s="33"/>
      <c r="R841" s="33"/>
      <c r="S841" s="33"/>
      <c r="T841" s="33"/>
    </row>
    <row r="842" spans="2:20" ht="15.75" customHeight="1">
      <c r="B842" s="5"/>
      <c r="C842" s="5"/>
      <c r="D842" s="5"/>
      <c r="E842" s="5"/>
      <c r="F842" s="5"/>
      <c r="P842" s="33"/>
      <c r="Q842" s="33"/>
      <c r="R842" s="33"/>
      <c r="S842" s="33"/>
      <c r="T842" s="33"/>
    </row>
    <row r="843" spans="2:20" ht="15.75" customHeight="1">
      <c r="B843" s="5"/>
      <c r="C843" s="5"/>
      <c r="D843" s="5"/>
      <c r="E843" s="5"/>
      <c r="F843" s="5"/>
      <c r="P843" s="33"/>
      <c r="Q843" s="33"/>
      <c r="R843" s="33"/>
      <c r="S843" s="33"/>
      <c r="T843" s="33"/>
    </row>
    <row r="844" spans="2:20" ht="15.75" customHeight="1">
      <c r="B844" s="5"/>
      <c r="C844" s="5"/>
      <c r="D844" s="5"/>
      <c r="E844" s="5"/>
      <c r="F844" s="5"/>
      <c r="P844" s="33"/>
      <c r="Q844" s="33"/>
      <c r="R844" s="33"/>
      <c r="S844" s="33"/>
      <c r="T844" s="33"/>
    </row>
    <row r="845" spans="2:20" ht="15.75" customHeight="1">
      <c r="B845" s="5"/>
      <c r="C845" s="5"/>
      <c r="D845" s="5"/>
      <c r="E845" s="5"/>
      <c r="F845" s="5"/>
      <c r="P845" s="33"/>
      <c r="Q845" s="33"/>
      <c r="R845" s="33"/>
      <c r="S845" s="33"/>
      <c r="T845" s="33"/>
    </row>
    <row r="846" spans="2:20" ht="15.75" customHeight="1">
      <c r="B846" s="5"/>
      <c r="C846" s="5"/>
      <c r="D846" s="5"/>
      <c r="E846" s="5"/>
      <c r="F846" s="5"/>
      <c r="P846" s="33"/>
      <c r="Q846" s="33"/>
      <c r="R846" s="33"/>
      <c r="S846" s="33"/>
      <c r="T846" s="33"/>
    </row>
    <row r="847" spans="2:20" ht="15.75" customHeight="1">
      <c r="B847" s="5"/>
      <c r="C847" s="5"/>
      <c r="D847" s="5"/>
      <c r="E847" s="5"/>
      <c r="F847" s="5"/>
      <c r="P847" s="33"/>
      <c r="Q847" s="33"/>
      <c r="R847" s="33"/>
      <c r="S847" s="33"/>
      <c r="T847" s="33"/>
    </row>
    <row r="848" spans="2:20" ht="15.75" customHeight="1">
      <c r="B848" s="5"/>
      <c r="C848" s="5"/>
      <c r="D848" s="5"/>
      <c r="E848" s="5"/>
      <c r="F848" s="5"/>
      <c r="P848" s="33"/>
      <c r="Q848" s="33"/>
      <c r="R848" s="33"/>
      <c r="S848" s="33"/>
      <c r="T848" s="33"/>
    </row>
    <row r="849" spans="2:20" ht="15.75" customHeight="1">
      <c r="B849" s="5"/>
      <c r="C849" s="5"/>
      <c r="D849" s="5"/>
      <c r="E849" s="5"/>
      <c r="F849" s="5"/>
      <c r="P849" s="33"/>
      <c r="Q849" s="33"/>
      <c r="R849" s="33"/>
      <c r="S849" s="33"/>
      <c r="T849" s="33"/>
    </row>
    <row r="850" spans="2:20" ht="15.75" customHeight="1">
      <c r="B850" s="5"/>
      <c r="C850" s="5"/>
      <c r="D850" s="5"/>
      <c r="E850" s="5"/>
      <c r="F850" s="5"/>
      <c r="P850" s="33"/>
      <c r="Q850" s="33"/>
      <c r="R850" s="33"/>
      <c r="S850" s="33"/>
      <c r="T850" s="33"/>
    </row>
    <row r="851" spans="2:20" ht="15.75" customHeight="1">
      <c r="B851" s="5"/>
      <c r="C851" s="5"/>
      <c r="D851" s="5"/>
      <c r="E851" s="5"/>
      <c r="F851" s="5"/>
      <c r="P851" s="33"/>
      <c r="Q851" s="33"/>
      <c r="R851" s="33"/>
      <c r="S851" s="33"/>
      <c r="T851" s="33"/>
    </row>
    <row r="852" spans="2:20" ht="15.75" customHeight="1">
      <c r="B852" s="5"/>
      <c r="C852" s="5"/>
      <c r="D852" s="5"/>
      <c r="E852" s="5"/>
      <c r="F852" s="5"/>
      <c r="P852" s="33"/>
      <c r="Q852" s="33"/>
      <c r="R852" s="33"/>
      <c r="S852" s="33"/>
      <c r="T852" s="33"/>
    </row>
    <row r="853" spans="2:20" ht="15.75" customHeight="1">
      <c r="B853" s="5"/>
      <c r="C853" s="5"/>
      <c r="D853" s="5"/>
      <c r="E853" s="5"/>
      <c r="F853" s="5"/>
      <c r="P853" s="33"/>
      <c r="Q853" s="33"/>
      <c r="R853" s="33"/>
      <c r="S853" s="33"/>
      <c r="T853" s="33"/>
    </row>
    <row r="854" spans="2:20" ht="15.75" customHeight="1">
      <c r="B854" s="5"/>
      <c r="C854" s="5"/>
      <c r="D854" s="5"/>
      <c r="E854" s="5"/>
      <c r="F854" s="5"/>
      <c r="P854" s="33"/>
      <c r="Q854" s="33"/>
      <c r="R854" s="33"/>
      <c r="S854" s="33"/>
      <c r="T854" s="33"/>
    </row>
    <row r="855" spans="2:20" ht="15.75" customHeight="1">
      <c r="B855" s="5"/>
      <c r="C855" s="5"/>
      <c r="D855" s="5"/>
      <c r="E855" s="5"/>
      <c r="F855" s="5"/>
      <c r="P855" s="33"/>
      <c r="Q855" s="33"/>
      <c r="R855" s="33"/>
      <c r="S855" s="33"/>
      <c r="T855" s="33"/>
    </row>
    <row r="856" spans="2:20" ht="15.75" customHeight="1">
      <c r="B856" s="5"/>
      <c r="C856" s="5"/>
      <c r="D856" s="5"/>
      <c r="E856" s="5"/>
      <c r="F856" s="5"/>
      <c r="P856" s="33"/>
      <c r="Q856" s="33"/>
      <c r="R856" s="33"/>
      <c r="S856" s="33"/>
      <c r="T856" s="33"/>
    </row>
    <row r="857" spans="2:20" ht="15.75" customHeight="1">
      <c r="B857" s="5"/>
      <c r="C857" s="5"/>
      <c r="D857" s="5"/>
      <c r="E857" s="5"/>
      <c r="F857" s="5"/>
      <c r="P857" s="33"/>
      <c r="Q857" s="33"/>
      <c r="R857" s="33"/>
      <c r="S857" s="33"/>
      <c r="T857" s="33"/>
    </row>
    <row r="858" spans="2:20" ht="15.75" customHeight="1">
      <c r="B858" s="5"/>
      <c r="C858" s="5"/>
      <c r="D858" s="5"/>
      <c r="E858" s="5"/>
      <c r="F858" s="5"/>
      <c r="P858" s="33"/>
      <c r="Q858" s="33"/>
      <c r="R858" s="33"/>
      <c r="S858" s="33"/>
      <c r="T858" s="33"/>
    </row>
    <row r="859" spans="2:20" ht="15.75" customHeight="1">
      <c r="B859" s="5"/>
      <c r="C859" s="5"/>
      <c r="D859" s="5"/>
      <c r="E859" s="5"/>
      <c r="F859" s="5"/>
      <c r="P859" s="33"/>
      <c r="Q859" s="33"/>
      <c r="R859" s="33"/>
      <c r="S859" s="33"/>
      <c r="T859" s="33"/>
    </row>
    <row r="860" spans="2:20" ht="15.75" customHeight="1">
      <c r="B860" s="5"/>
      <c r="C860" s="5"/>
      <c r="D860" s="5"/>
      <c r="E860" s="5"/>
      <c r="F860" s="5"/>
      <c r="P860" s="33"/>
      <c r="Q860" s="33"/>
      <c r="R860" s="33"/>
      <c r="S860" s="33"/>
      <c r="T860" s="33"/>
    </row>
    <row r="861" spans="2:20" ht="15.75" customHeight="1">
      <c r="B861" s="5"/>
      <c r="C861" s="5"/>
      <c r="D861" s="5"/>
      <c r="E861" s="5"/>
      <c r="F861" s="5"/>
      <c r="P861" s="33"/>
      <c r="Q861" s="33"/>
      <c r="R861" s="33"/>
      <c r="S861" s="33"/>
      <c r="T861" s="33"/>
    </row>
    <row r="862" spans="2:20" ht="15.75" customHeight="1">
      <c r="B862" s="5"/>
      <c r="C862" s="5"/>
      <c r="D862" s="5"/>
      <c r="E862" s="5"/>
      <c r="F862" s="5"/>
      <c r="P862" s="33"/>
      <c r="Q862" s="33"/>
      <c r="R862" s="33"/>
      <c r="S862" s="33"/>
      <c r="T862" s="33"/>
    </row>
    <row r="863" spans="2:20" ht="15.75" customHeight="1">
      <c r="B863" s="5"/>
      <c r="C863" s="5"/>
      <c r="D863" s="5"/>
      <c r="E863" s="5"/>
      <c r="F863" s="5"/>
      <c r="P863" s="33"/>
      <c r="Q863" s="33"/>
      <c r="R863" s="33"/>
      <c r="S863" s="33"/>
      <c r="T863" s="33"/>
    </row>
    <row r="864" spans="2:20" ht="15.75" customHeight="1">
      <c r="B864" s="5"/>
      <c r="C864" s="5"/>
      <c r="D864" s="5"/>
      <c r="E864" s="5"/>
      <c r="F864" s="5"/>
      <c r="P864" s="33"/>
      <c r="Q864" s="33"/>
      <c r="R864" s="33"/>
      <c r="S864" s="33"/>
      <c r="T864" s="33"/>
    </row>
    <row r="865" spans="2:20" ht="15.75" customHeight="1">
      <c r="B865" s="5"/>
      <c r="C865" s="5"/>
      <c r="D865" s="5"/>
      <c r="E865" s="5"/>
      <c r="F865" s="5"/>
      <c r="P865" s="33"/>
      <c r="Q865" s="33"/>
      <c r="R865" s="33"/>
      <c r="S865" s="33"/>
      <c r="T865" s="33"/>
    </row>
    <row r="866" spans="2:20" ht="15.75" customHeight="1">
      <c r="B866" s="5"/>
      <c r="C866" s="5"/>
      <c r="D866" s="5"/>
      <c r="E866" s="5"/>
      <c r="F866" s="5"/>
      <c r="P866" s="33"/>
      <c r="Q866" s="33"/>
      <c r="R866" s="33"/>
      <c r="S866" s="33"/>
      <c r="T866" s="33"/>
    </row>
    <row r="867" spans="2:20" ht="15.75" customHeight="1">
      <c r="B867" s="5"/>
      <c r="C867" s="5"/>
      <c r="D867" s="5"/>
      <c r="E867" s="5"/>
      <c r="F867" s="5"/>
      <c r="P867" s="33"/>
      <c r="Q867" s="33"/>
      <c r="R867" s="33"/>
      <c r="S867" s="33"/>
      <c r="T867" s="33"/>
    </row>
    <row r="868" spans="2:20" ht="15.75" customHeight="1">
      <c r="B868" s="5"/>
      <c r="C868" s="5"/>
      <c r="D868" s="5"/>
      <c r="E868" s="5"/>
      <c r="F868" s="5"/>
      <c r="P868" s="33"/>
      <c r="Q868" s="33"/>
      <c r="R868" s="33"/>
      <c r="S868" s="33"/>
      <c r="T868" s="33"/>
    </row>
    <row r="869" spans="2:20" ht="15.75" customHeight="1">
      <c r="B869" s="5"/>
      <c r="C869" s="5"/>
      <c r="D869" s="5"/>
      <c r="E869" s="5"/>
      <c r="F869" s="5"/>
      <c r="P869" s="33"/>
      <c r="Q869" s="33"/>
      <c r="R869" s="33"/>
      <c r="S869" s="33"/>
      <c r="T869" s="33"/>
    </row>
    <row r="870" spans="2:20" ht="15.75" customHeight="1">
      <c r="B870" s="5"/>
      <c r="C870" s="5"/>
      <c r="D870" s="5"/>
      <c r="E870" s="5"/>
      <c r="F870" s="5"/>
      <c r="P870" s="33"/>
      <c r="Q870" s="33"/>
      <c r="R870" s="33"/>
      <c r="S870" s="33"/>
      <c r="T870" s="33"/>
    </row>
    <row r="871" spans="2:20" ht="15.75" customHeight="1">
      <c r="B871" s="5"/>
      <c r="C871" s="5"/>
      <c r="D871" s="5"/>
      <c r="E871" s="5"/>
      <c r="F871" s="5"/>
      <c r="P871" s="33"/>
      <c r="Q871" s="33"/>
      <c r="R871" s="33"/>
      <c r="S871" s="33"/>
      <c r="T871" s="33"/>
    </row>
    <row r="872" spans="2:20" ht="15.75" customHeight="1">
      <c r="B872" s="5"/>
      <c r="C872" s="5"/>
      <c r="D872" s="5"/>
      <c r="E872" s="5"/>
      <c r="F872" s="5"/>
      <c r="P872" s="33"/>
      <c r="Q872" s="33"/>
      <c r="R872" s="33"/>
      <c r="S872" s="33"/>
      <c r="T872" s="33"/>
    </row>
    <row r="873" spans="2:20" ht="15.75" customHeight="1">
      <c r="B873" s="5"/>
      <c r="C873" s="5"/>
      <c r="D873" s="5"/>
      <c r="E873" s="5"/>
      <c r="F873" s="5"/>
      <c r="P873" s="33"/>
      <c r="Q873" s="33"/>
      <c r="R873" s="33"/>
      <c r="S873" s="33"/>
      <c r="T873" s="33"/>
    </row>
    <row r="874" spans="2:20" ht="15.75" customHeight="1">
      <c r="B874" s="5"/>
      <c r="C874" s="5"/>
      <c r="D874" s="5"/>
      <c r="E874" s="5"/>
      <c r="F874" s="5"/>
      <c r="P874" s="33"/>
      <c r="Q874" s="33"/>
      <c r="R874" s="33"/>
      <c r="S874" s="33"/>
      <c r="T874" s="33"/>
    </row>
    <row r="875" spans="2:20" ht="15.75" customHeight="1">
      <c r="B875" s="5"/>
      <c r="C875" s="5"/>
      <c r="D875" s="5"/>
      <c r="E875" s="5"/>
      <c r="F875" s="5"/>
      <c r="P875" s="33"/>
      <c r="Q875" s="33"/>
      <c r="R875" s="33"/>
      <c r="S875" s="33"/>
      <c r="T875" s="33"/>
    </row>
    <row r="876" spans="2:20" ht="15.75" customHeight="1">
      <c r="B876" s="5"/>
      <c r="C876" s="5"/>
      <c r="D876" s="5"/>
      <c r="E876" s="5"/>
      <c r="F876" s="5"/>
      <c r="P876" s="33"/>
      <c r="Q876" s="33"/>
      <c r="R876" s="33"/>
      <c r="S876" s="33"/>
      <c r="T876" s="33"/>
    </row>
    <row r="877" spans="2:20" ht="15.75" customHeight="1">
      <c r="B877" s="5"/>
      <c r="C877" s="5"/>
      <c r="D877" s="5"/>
      <c r="E877" s="5"/>
      <c r="F877" s="5"/>
      <c r="P877" s="33"/>
      <c r="Q877" s="33"/>
      <c r="R877" s="33"/>
      <c r="S877" s="33"/>
      <c r="T877" s="33"/>
    </row>
    <row r="878" spans="2:20" ht="15.75" customHeight="1">
      <c r="B878" s="5"/>
      <c r="C878" s="5"/>
      <c r="D878" s="5"/>
      <c r="E878" s="5"/>
      <c r="F878" s="5"/>
      <c r="P878" s="33"/>
      <c r="Q878" s="33"/>
      <c r="R878" s="33"/>
      <c r="S878" s="33"/>
      <c r="T878" s="33"/>
    </row>
    <row r="879" spans="2:20" ht="15.75" customHeight="1">
      <c r="B879" s="5"/>
      <c r="C879" s="5"/>
      <c r="D879" s="5"/>
      <c r="E879" s="5"/>
      <c r="F879" s="5"/>
      <c r="P879" s="33"/>
      <c r="Q879" s="33"/>
      <c r="R879" s="33"/>
      <c r="S879" s="33"/>
      <c r="T879" s="33"/>
    </row>
    <row r="880" spans="2:20" ht="15.75" customHeight="1">
      <c r="B880" s="5"/>
      <c r="C880" s="5"/>
      <c r="D880" s="5"/>
      <c r="E880" s="5"/>
      <c r="F880" s="5"/>
      <c r="P880" s="33"/>
      <c r="Q880" s="33"/>
      <c r="R880" s="33"/>
      <c r="S880" s="33"/>
      <c r="T880" s="33"/>
    </row>
    <row r="881" spans="2:20" ht="15.75" customHeight="1">
      <c r="B881" s="5"/>
      <c r="C881" s="5"/>
      <c r="D881" s="5"/>
      <c r="E881" s="5"/>
      <c r="F881" s="5"/>
      <c r="P881" s="33"/>
      <c r="Q881" s="33"/>
      <c r="R881" s="33"/>
      <c r="S881" s="33"/>
      <c r="T881" s="33"/>
    </row>
    <row r="882" spans="2:20" ht="15.75" customHeight="1">
      <c r="B882" s="5"/>
      <c r="C882" s="5"/>
      <c r="D882" s="5"/>
      <c r="E882" s="5"/>
      <c r="F882" s="5"/>
      <c r="P882" s="33"/>
      <c r="Q882" s="33"/>
      <c r="R882" s="33"/>
      <c r="S882" s="33"/>
      <c r="T882" s="33"/>
    </row>
    <row r="883" spans="2:20" ht="15.75" customHeight="1">
      <c r="B883" s="5"/>
      <c r="C883" s="5"/>
      <c r="D883" s="5"/>
      <c r="E883" s="5"/>
      <c r="F883" s="5"/>
      <c r="P883" s="33"/>
      <c r="Q883" s="33"/>
      <c r="R883" s="33"/>
      <c r="S883" s="33"/>
      <c r="T883" s="33"/>
    </row>
    <row r="884" spans="2:20" ht="15.75" customHeight="1">
      <c r="B884" s="5"/>
      <c r="C884" s="5"/>
      <c r="D884" s="5"/>
      <c r="E884" s="5"/>
      <c r="F884" s="5"/>
      <c r="P884" s="33"/>
      <c r="Q884" s="33"/>
      <c r="R884" s="33"/>
      <c r="S884" s="33"/>
      <c r="T884" s="33"/>
    </row>
    <row r="885" spans="2:20" ht="15.75" customHeight="1">
      <c r="B885" s="5"/>
      <c r="C885" s="5"/>
      <c r="D885" s="5"/>
      <c r="E885" s="5"/>
      <c r="F885" s="5"/>
      <c r="P885" s="33"/>
      <c r="Q885" s="33"/>
      <c r="R885" s="33"/>
      <c r="S885" s="33"/>
      <c r="T885" s="33"/>
    </row>
    <row r="886" spans="2:20" ht="15.75" customHeight="1">
      <c r="B886" s="5"/>
      <c r="C886" s="5"/>
      <c r="D886" s="5"/>
      <c r="E886" s="5"/>
      <c r="F886" s="5"/>
      <c r="P886" s="33"/>
      <c r="Q886" s="33"/>
      <c r="R886" s="33"/>
      <c r="S886" s="33"/>
      <c r="T886" s="33"/>
    </row>
    <row r="887" spans="2:20" ht="15.75" customHeight="1">
      <c r="B887" s="5"/>
      <c r="C887" s="5"/>
      <c r="D887" s="5"/>
      <c r="E887" s="5"/>
      <c r="F887" s="5"/>
      <c r="P887" s="33"/>
      <c r="Q887" s="33"/>
      <c r="R887" s="33"/>
      <c r="S887" s="33"/>
      <c r="T887" s="33"/>
    </row>
    <row r="888" spans="2:20" ht="15.75" customHeight="1">
      <c r="B888" s="5"/>
      <c r="C888" s="5"/>
      <c r="D888" s="5"/>
      <c r="E888" s="5"/>
      <c r="F888" s="5"/>
      <c r="P888" s="33"/>
      <c r="Q888" s="33"/>
      <c r="R888" s="33"/>
      <c r="S888" s="33"/>
      <c r="T888" s="33"/>
    </row>
    <row r="889" spans="2:20" ht="15.75" customHeight="1">
      <c r="B889" s="5"/>
      <c r="C889" s="5"/>
      <c r="D889" s="5"/>
      <c r="E889" s="5"/>
      <c r="F889" s="5"/>
      <c r="P889" s="33"/>
      <c r="Q889" s="33"/>
      <c r="R889" s="33"/>
      <c r="S889" s="33"/>
      <c r="T889" s="33"/>
    </row>
    <row r="890" spans="2:20" ht="15.75" customHeight="1">
      <c r="B890" s="5"/>
      <c r="C890" s="5"/>
      <c r="D890" s="5"/>
      <c r="E890" s="5"/>
      <c r="F890" s="5"/>
      <c r="P890" s="33"/>
      <c r="Q890" s="33"/>
      <c r="R890" s="33"/>
      <c r="S890" s="33"/>
      <c r="T890" s="33"/>
    </row>
    <row r="891" spans="2:20" ht="15.75" customHeight="1">
      <c r="B891" s="5"/>
      <c r="C891" s="5"/>
      <c r="D891" s="5"/>
      <c r="E891" s="5"/>
      <c r="F891" s="5"/>
      <c r="P891" s="33"/>
      <c r="Q891" s="33"/>
      <c r="R891" s="33"/>
      <c r="S891" s="33"/>
      <c r="T891" s="33"/>
    </row>
    <row r="892" spans="2:20" ht="15.75" customHeight="1">
      <c r="B892" s="5"/>
      <c r="C892" s="5"/>
      <c r="D892" s="5"/>
      <c r="E892" s="5"/>
      <c r="F892" s="5"/>
      <c r="P892" s="33"/>
      <c r="Q892" s="33"/>
      <c r="R892" s="33"/>
      <c r="S892" s="33"/>
      <c r="T892" s="33"/>
    </row>
    <row r="893" spans="2:20" ht="15.75" customHeight="1">
      <c r="B893" s="5"/>
      <c r="C893" s="5"/>
      <c r="D893" s="5"/>
      <c r="E893" s="5"/>
      <c r="F893" s="5"/>
      <c r="P893" s="33"/>
      <c r="Q893" s="33"/>
      <c r="R893" s="33"/>
      <c r="S893" s="33"/>
      <c r="T893" s="33"/>
    </row>
    <row r="894" spans="2:20" ht="15.75" customHeight="1">
      <c r="B894" s="5"/>
      <c r="C894" s="5"/>
      <c r="D894" s="5"/>
      <c r="E894" s="5"/>
      <c r="F894" s="5"/>
      <c r="P894" s="33"/>
      <c r="Q894" s="33"/>
      <c r="R894" s="33"/>
      <c r="S894" s="33"/>
      <c r="T894" s="33"/>
    </row>
    <row r="895" spans="2:20" ht="15.75" customHeight="1">
      <c r="B895" s="5"/>
      <c r="C895" s="5"/>
      <c r="D895" s="5"/>
      <c r="E895" s="5"/>
      <c r="F895" s="5"/>
      <c r="P895" s="33"/>
      <c r="Q895" s="33"/>
      <c r="R895" s="33"/>
      <c r="S895" s="33"/>
      <c r="T895" s="33"/>
    </row>
    <row r="896" spans="2:20" ht="15.75" customHeight="1">
      <c r="B896" s="5"/>
      <c r="C896" s="5"/>
      <c r="D896" s="5"/>
      <c r="E896" s="5"/>
      <c r="F896" s="5"/>
      <c r="P896" s="33"/>
      <c r="Q896" s="33"/>
      <c r="R896" s="33"/>
      <c r="S896" s="33"/>
      <c r="T896" s="33"/>
    </row>
    <row r="897" spans="2:20" ht="15.75" customHeight="1">
      <c r="B897" s="5"/>
      <c r="C897" s="5"/>
      <c r="D897" s="5"/>
      <c r="E897" s="5"/>
      <c r="F897" s="5"/>
      <c r="P897" s="33"/>
      <c r="Q897" s="33"/>
      <c r="R897" s="33"/>
      <c r="S897" s="33"/>
      <c r="T897" s="33"/>
    </row>
    <row r="898" spans="2:20" ht="15.75" customHeight="1">
      <c r="B898" s="5"/>
      <c r="C898" s="5"/>
      <c r="D898" s="5"/>
      <c r="E898" s="5"/>
      <c r="F898" s="5"/>
      <c r="P898" s="33"/>
      <c r="Q898" s="33"/>
      <c r="R898" s="33"/>
      <c r="S898" s="33"/>
      <c r="T898" s="33"/>
    </row>
    <row r="899" spans="2:20" ht="15.75" customHeight="1">
      <c r="B899" s="5"/>
      <c r="C899" s="5"/>
      <c r="D899" s="5"/>
      <c r="E899" s="5"/>
      <c r="F899" s="5"/>
      <c r="P899" s="33"/>
      <c r="Q899" s="33"/>
      <c r="R899" s="33"/>
      <c r="S899" s="33"/>
      <c r="T899" s="33"/>
    </row>
    <row r="900" spans="2:20" ht="15.75" customHeight="1">
      <c r="B900" s="5"/>
      <c r="C900" s="5"/>
      <c r="D900" s="5"/>
      <c r="E900" s="5"/>
      <c r="F900" s="5"/>
      <c r="P900" s="33"/>
      <c r="Q900" s="33"/>
      <c r="R900" s="33"/>
      <c r="S900" s="33"/>
      <c r="T900" s="33"/>
    </row>
    <row r="901" spans="2:20" ht="15.75" customHeight="1">
      <c r="B901" s="5"/>
      <c r="C901" s="5"/>
      <c r="D901" s="5"/>
      <c r="E901" s="5"/>
      <c r="F901" s="5"/>
      <c r="P901" s="33"/>
      <c r="Q901" s="33"/>
      <c r="R901" s="33"/>
      <c r="S901" s="33"/>
      <c r="T901" s="33"/>
    </row>
    <row r="902" spans="2:20" ht="15.75" customHeight="1">
      <c r="B902" s="5"/>
      <c r="C902" s="5"/>
      <c r="D902" s="5"/>
      <c r="E902" s="5"/>
      <c r="F902" s="5"/>
      <c r="P902" s="33"/>
      <c r="Q902" s="33"/>
      <c r="R902" s="33"/>
      <c r="S902" s="33"/>
      <c r="T902" s="33"/>
    </row>
    <row r="903" spans="2:20" ht="15.75" customHeight="1">
      <c r="B903" s="5"/>
      <c r="C903" s="5"/>
      <c r="D903" s="5"/>
      <c r="E903" s="5"/>
      <c r="F903" s="5"/>
      <c r="P903" s="33"/>
      <c r="Q903" s="33"/>
      <c r="R903" s="33"/>
      <c r="S903" s="33"/>
      <c r="T903" s="33"/>
    </row>
    <row r="904" spans="2:20" ht="15.75" customHeight="1">
      <c r="B904" s="5"/>
      <c r="C904" s="5"/>
      <c r="D904" s="5"/>
      <c r="E904" s="5"/>
      <c r="F904" s="5"/>
      <c r="P904" s="33"/>
      <c r="Q904" s="33"/>
      <c r="R904" s="33"/>
      <c r="S904" s="33"/>
      <c r="T904" s="33"/>
    </row>
    <row r="905" spans="2:20" ht="15.75" customHeight="1">
      <c r="B905" s="5"/>
      <c r="C905" s="5"/>
      <c r="D905" s="5"/>
      <c r="E905" s="5"/>
      <c r="F905" s="5"/>
      <c r="P905" s="33"/>
      <c r="Q905" s="33"/>
      <c r="R905" s="33"/>
      <c r="S905" s="33"/>
      <c r="T905" s="33"/>
    </row>
    <row r="906" spans="2:20" ht="15.75" customHeight="1">
      <c r="B906" s="5"/>
      <c r="C906" s="5"/>
      <c r="D906" s="5"/>
      <c r="E906" s="5"/>
      <c r="F906" s="5"/>
      <c r="P906" s="33"/>
      <c r="Q906" s="33"/>
      <c r="R906" s="33"/>
      <c r="S906" s="33"/>
      <c r="T906" s="33"/>
    </row>
    <row r="907" spans="2:20" ht="15.75" customHeight="1">
      <c r="B907" s="5"/>
      <c r="C907" s="5"/>
      <c r="D907" s="5"/>
      <c r="E907" s="5"/>
      <c r="F907" s="5"/>
      <c r="P907" s="33"/>
      <c r="Q907" s="33"/>
      <c r="R907" s="33"/>
      <c r="S907" s="33"/>
      <c r="T907" s="33"/>
    </row>
    <row r="908" spans="2:20" ht="15.75" customHeight="1">
      <c r="B908" s="5"/>
      <c r="C908" s="5"/>
      <c r="D908" s="5"/>
      <c r="E908" s="5"/>
      <c r="F908" s="5"/>
      <c r="P908" s="33"/>
      <c r="Q908" s="33"/>
      <c r="R908" s="33"/>
      <c r="S908" s="33"/>
      <c r="T908" s="33"/>
    </row>
    <row r="909" spans="2:20" ht="15.75" customHeight="1">
      <c r="B909" s="5"/>
      <c r="C909" s="5"/>
      <c r="D909" s="5"/>
      <c r="E909" s="5"/>
      <c r="F909" s="5"/>
      <c r="P909" s="33"/>
      <c r="Q909" s="33"/>
      <c r="R909" s="33"/>
      <c r="S909" s="33"/>
      <c r="T909" s="33"/>
    </row>
    <row r="910" spans="2:20" ht="15.75" customHeight="1">
      <c r="B910" s="5"/>
      <c r="C910" s="5"/>
      <c r="D910" s="5"/>
      <c r="E910" s="5"/>
      <c r="F910" s="5"/>
      <c r="P910" s="33"/>
      <c r="Q910" s="33"/>
      <c r="R910" s="33"/>
      <c r="S910" s="33"/>
      <c r="T910" s="33"/>
    </row>
    <row r="911" spans="2:20" ht="15.75" customHeight="1">
      <c r="B911" s="5"/>
      <c r="C911" s="5"/>
      <c r="D911" s="5"/>
      <c r="E911" s="5"/>
      <c r="F911" s="5"/>
      <c r="P911" s="33"/>
      <c r="Q911" s="33"/>
      <c r="R911" s="33"/>
      <c r="S911" s="33"/>
      <c r="T911" s="33"/>
    </row>
    <row r="912" spans="2:20" ht="15.75" customHeight="1">
      <c r="B912" s="5"/>
      <c r="C912" s="5"/>
      <c r="D912" s="5"/>
      <c r="E912" s="5"/>
      <c r="F912" s="5"/>
      <c r="P912" s="33"/>
      <c r="Q912" s="33"/>
      <c r="R912" s="33"/>
      <c r="S912" s="33"/>
      <c r="T912" s="33"/>
    </row>
    <row r="913" spans="2:20" ht="15.75" customHeight="1">
      <c r="B913" s="5"/>
      <c r="C913" s="5"/>
      <c r="D913" s="5"/>
      <c r="E913" s="5"/>
      <c r="F913" s="5"/>
      <c r="P913" s="33"/>
      <c r="Q913" s="33"/>
      <c r="R913" s="33"/>
      <c r="S913" s="33"/>
      <c r="T913" s="33"/>
    </row>
    <row r="914" spans="2:20" ht="15.75" customHeight="1">
      <c r="B914" s="5"/>
      <c r="C914" s="5"/>
      <c r="D914" s="5"/>
      <c r="E914" s="5"/>
      <c r="F914" s="5"/>
      <c r="P914" s="33"/>
      <c r="Q914" s="33"/>
      <c r="R914" s="33"/>
      <c r="S914" s="33"/>
      <c r="T914" s="33"/>
    </row>
    <row r="915" spans="2:20" ht="15.75" customHeight="1">
      <c r="B915" s="5"/>
      <c r="C915" s="5"/>
      <c r="D915" s="5"/>
      <c r="E915" s="5"/>
      <c r="F915" s="5"/>
      <c r="P915" s="33"/>
      <c r="Q915" s="33"/>
      <c r="R915" s="33"/>
      <c r="S915" s="33"/>
      <c r="T915" s="33"/>
    </row>
    <row r="916" spans="2:20" ht="15.75" customHeight="1">
      <c r="B916" s="5"/>
      <c r="C916" s="5"/>
      <c r="D916" s="5"/>
      <c r="E916" s="5"/>
      <c r="F916" s="5"/>
      <c r="P916" s="33"/>
      <c r="Q916" s="33"/>
      <c r="R916" s="33"/>
      <c r="S916" s="33"/>
      <c r="T916" s="33"/>
    </row>
    <row r="917" spans="2:20" ht="15.75" customHeight="1">
      <c r="B917" s="5"/>
      <c r="C917" s="5"/>
      <c r="D917" s="5"/>
      <c r="E917" s="5"/>
      <c r="F917" s="5"/>
      <c r="P917" s="33"/>
      <c r="Q917" s="33"/>
      <c r="R917" s="33"/>
      <c r="S917" s="33"/>
      <c r="T917" s="33"/>
    </row>
    <row r="918" spans="2:20" ht="15.75" customHeight="1">
      <c r="B918" s="5"/>
      <c r="C918" s="5"/>
      <c r="D918" s="5"/>
      <c r="E918" s="5"/>
      <c r="F918" s="5"/>
      <c r="P918" s="33"/>
      <c r="Q918" s="33"/>
      <c r="R918" s="33"/>
      <c r="S918" s="33"/>
      <c r="T918" s="33"/>
    </row>
    <row r="919" spans="2:20" ht="15.75" customHeight="1">
      <c r="B919" s="5"/>
      <c r="C919" s="5"/>
      <c r="D919" s="5"/>
      <c r="E919" s="5"/>
      <c r="F919" s="5"/>
      <c r="P919" s="33"/>
      <c r="Q919" s="33"/>
      <c r="R919" s="33"/>
      <c r="S919" s="33"/>
      <c r="T919" s="33"/>
    </row>
    <row r="920" spans="2:20" ht="15.75" customHeight="1">
      <c r="B920" s="5"/>
      <c r="C920" s="5"/>
      <c r="D920" s="5"/>
      <c r="E920" s="5"/>
      <c r="F920" s="5"/>
      <c r="P920" s="33"/>
      <c r="Q920" s="33"/>
      <c r="R920" s="33"/>
      <c r="S920" s="33"/>
      <c r="T920" s="33"/>
    </row>
    <row r="921" spans="2:20" ht="15.75" customHeight="1">
      <c r="B921" s="5"/>
      <c r="C921" s="5"/>
      <c r="D921" s="5"/>
      <c r="E921" s="5"/>
      <c r="F921" s="5"/>
      <c r="P921" s="33"/>
      <c r="Q921" s="33"/>
      <c r="R921" s="33"/>
      <c r="S921" s="33"/>
      <c r="T921" s="33"/>
    </row>
    <row r="922" spans="2:20" ht="15.75" customHeight="1">
      <c r="B922" s="5"/>
      <c r="C922" s="5"/>
      <c r="D922" s="5"/>
      <c r="E922" s="5"/>
      <c r="F922" s="5"/>
      <c r="P922" s="33"/>
      <c r="Q922" s="33"/>
      <c r="R922" s="33"/>
      <c r="S922" s="33"/>
      <c r="T922" s="33"/>
    </row>
    <row r="923" spans="2:20" ht="15.75" customHeight="1">
      <c r="B923" s="5"/>
      <c r="C923" s="5"/>
      <c r="D923" s="5"/>
      <c r="E923" s="5"/>
      <c r="F923" s="5"/>
      <c r="P923" s="33"/>
      <c r="Q923" s="33"/>
      <c r="R923" s="33"/>
      <c r="S923" s="33"/>
      <c r="T923" s="33"/>
    </row>
    <row r="924" spans="2:20" ht="15.75" customHeight="1">
      <c r="B924" s="5"/>
      <c r="C924" s="5"/>
      <c r="D924" s="5"/>
      <c r="E924" s="5"/>
      <c r="F924" s="5"/>
      <c r="P924" s="33"/>
      <c r="Q924" s="33"/>
      <c r="R924" s="33"/>
      <c r="S924" s="33"/>
      <c r="T924" s="33"/>
    </row>
    <row r="925" spans="2:20" ht="15.75" customHeight="1">
      <c r="B925" s="5"/>
      <c r="C925" s="5"/>
      <c r="D925" s="5"/>
      <c r="E925" s="5"/>
      <c r="F925" s="5"/>
      <c r="P925" s="33"/>
      <c r="Q925" s="33"/>
      <c r="R925" s="33"/>
      <c r="S925" s="33"/>
      <c r="T925" s="33"/>
    </row>
    <row r="926" spans="2:20" ht="15.75" customHeight="1">
      <c r="B926" s="5"/>
      <c r="C926" s="5"/>
      <c r="D926" s="5"/>
      <c r="E926" s="5"/>
      <c r="F926" s="5"/>
      <c r="P926" s="33"/>
      <c r="Q926" s="33"/>
      <c r="R926" s="33"/>
      <c r="S926" s="33"/>
      <c r="T926" s="33"/>
    </row>
    <row r="927" spans="2:20" ht="15.75" customHeight="1">
      <c r="B927" s="5"/>
      <c r="C927" s="5"/>
      <c r="D927" s="5"/>
      <c r="E927" s="5"/>
      <c r="F927" s="5"/>
      <c r="P927" s="33"/>
      <c r="Q927" s="33"/>
      <c r="R927" s="33"/>
      <c r="S927" s="33"/>
      <c r="T927" s="33"/>
    </row>
    <row r="928" spans="2:20" ht="15.75" customHeight="1">
      <c r="B928" s="5"/>
      <c r="C928" s="5"/>
      <c r="D928" s="5"/>
      <c r="E928" s="5"/>
      <c r="F928" s="5"/>
      <c r="P928" s="33"/>
      <c r="Q928" s="33"/>
      <c r="R928" s="33"/>
      <c r="S928" s="33"/>
      <c r="T928" s="33"/>
    </row>
    <row r="929" spans="2:20" ht="15.75" customHeight="1">
      <c r="B929" s="5"/>
      <c r="C929" s="5"/>
      <c r="D929" s="5"/>
      <c r="E929" s="5"/>
      <c r="F929" s="5"/>
      <c r="P929" s="33"/>
      <c r="Q929" s="33"/>
      <c r="R929" s="33"/>
      <c r="S929" s="33"/>
      <c r="T929" s="33"/>
    </row>
    <row r="930" spans="2:20" ht="15.75" customHeight="1">
      <c r="B930" s="5"/>
      <c r="C930" s="5"/>
      <c r="D930" s="5"/>
      <c r="E930" s="5"/>
      <c r="F930" s="5"/>
      <c r="P930" s="33"/>
      <c r="Q930" s="33"/>
      <c r="R930" s="33"/>
      <c r="S930" s="33"/>
      <c r="T930" s="33"/>
    </row>
    <row r="931" spans="2:20" ht="15.75" customHeight="1">
      <c r="B931" s="5"/>
      <c r="C931" s="5"/>
      <c r="D931" s="5"/>
      <c r="E931" s="5"/>
      <c r="F931" s="5"/>
      <c r="P931" s="33"/>
      <c r="Q931" s="33"/>
      <c r="R931" s="33"/>
      <c r="S931" s="33"/>
      <c r="T931" s="33"/>
    </row>
    <row r="932" spans="2:20" ht="15.75" customHeight="1">
      <c r="B932" s="5"/>
      <c r="C932" s="5"/>
      <c r="D932" s="5"/>
      <c r="E932" s="5"/>
      <c r="F932" s="5"/>
      <c r="P932" s="33"/>
      <c r="Q932" s="33"/>
      <c r="R932" s="33"/>
      <c r="S932" s="33"/>
      <c r="T932" s="33"/>
    </row>
    <row r="933" spans="2:20" ht="15.75" customHeight="1">
      <c r="B933" s="5"/>
      <c r="C933" s="5"/>
      <c r="D933" s="5"/>
      <c r="E933" s="5"/>
      <c r="F933" s="5"/>
      <c r="P933" s="33"/>
      <c r="Q933" s="33"/>
      <c r="R933" s="33"/>
      <c r="S933" s="33"/>
      <c r="T933" s="33"/>
    </row>
    <row r="934" spans="2:20" ht="15.75" customHeight="1">
      <c r="B934" s="5"/>
      <c r="C934" s="5"/>
      <c r="D934" s="5"/>
      <c r="E934" s="5"/>
      <c r="F934" s="5"/>
      <c r="P934" s="33"/>
      <c r="Q934" s="33"/>
      <c r="R934" s="33"/>
      <c r="S934" s="33"/>
      <c r="T934" s="33"/>
    </row>
    <row r="935" spans="2:20" ht="15.75" customHeight="1">
      <c r="B935" s="5"/>
      <c r="C935" s="5"/>
      <c r="D935" s="5"/>
      <c r="E935" s="5"/>
      <c r="F935" s="5"/>
      <c r="P935" s="33"/>
      <c r="Q935" s="33"/>
      <c r="R935" s="33"/>
      <c r="S935" s="33"/>
      <c r="T935" s="33"/>
    </row>
    <row r="936" spans="2:20" ht="15.75" customHeight="1">
      <c r="B936" s="5"/>
      <c r="C936" s="5"/>
      <c r="D936" s="5"/>
      <c r="E936" s="5"/>
      <c r="F936" s="5"/>
      <c r="P936" s="33"/>
      <c r="Q936" s="33"/>
      <c r="R936" s="33"/>
      <c r="S936" s="33"/>
      <c r="T936" s="33"/>
    </row>
    <row r="937" spans="2:20" ht="15.75" customHeight="1">
      <c r="B937" s="5"/>
      <c r="C937" s="5"/>
      <c r="D937" s="5"/>
      <c r="E937" s="5"/>
      <c r="F937" s="5"/>
      <c r="P937" s="33"/>
      <c r="Q937" s="33"/>
      <c r="R937" s="33"/>
      <c r="S937" s="33"/>
      <c r="T937" s="33"/>
    </row>
    <row r="938" spans="2:20" ht="15.75" customHeight="1">
      <c r="B938" s="5"/>
      <c r="C938" s="5"/>
      <c r="D938" s="5"/>
      <c r="E938" s="5"/>
      <c r="F938" s="5"/>
      <c r="P938" s="33"/>
      <c r="Q938" s="33"/>
      <c r="R938" s="33"/>
      <c r="S938" s="33"/>
      <c r="T938" s="33"/>
    </row>
    <row r="939" spans="2:20" ht="15.75" customHeight="1">
      <c r="B939" s="5"/>
      <c r="C939" s="5"/>
      <c r="D939" s="5"/>
      <c r="E939" s="5"/>
      <c r="F939" s="5"/>
      <c r="P939" s="33"/>
      <c r="Q939" s="33"/>
      <c r="R939" s="33"/>
      <c r="S939" s="33"/>
      <c r="T939" s="33"/>
    </row>
    <row r="940" spans="2:20" ht="15.75" customHeight="1">
      <c r="B940" s="5"/>
      <c r="C940" s="5"/>
      <c r="D940" s="5"/>
      <c r="E940" s="5"/>
      <c r="F940" s="5"/>
      <c r="P940" s="33"/>
      <c r="Q940" s="33"/>
      <c r="R940" s="33"/>
      <c r="S940" s="33"/>
      <c r="T940" s="33"/>
    </row>
    <row r="941" spans="2:20" ht="15.75" customHeight="1">
      <c r="B941" s="5"/>
      <c r="C941" s="5"/>
      <c r="D941" s="5"/>
      <c r="E941" s="5"/>
      <c r="F941" s="5"/>
      <c r="P941" s="33"/>
      <c r="Q941" s="33"/>
      <c r="R941" s="33"/>
      <c r="S941" s="33"/>
      <c r="T941" s="33"/>
    </row>
    <row r="942" spans="2:20" ht="15.75" customHeight="1">
      <c r="B942" s="5"/>
      <c r="C942" s="5"/>
      <c r="D942" s="5"/>
      <c r="E942" s="5"/>
      <c r="F942" s="5"/>
      <c r="P942" s="33"/>
      <c r="Q942" s="33"/>
      <c r="R942" s="33"/>
      <c r="S942" s="33"/>
      <c r="T942" s="33"/>
    </row>
    <row r="943" spans="2:20" ht="15.75" customHeight="1">
      <c r="B943" s="5"/>
      <c r="C943" s="5"/>
      <c r="D943" s="5"/>
      <c r="E943" s="5"/>
      <c r="F943" s="5"/>
      <c r="P943" s="33"/>
      <c r="Q943" s="33"/>
      <c r="R943" s="33"/>
      <c r="S943" s="33"/>
      <c r="T943" s="33"/>
    </row>
    <row r="944" spans="2:20" ht="15.75" customHeight="1">
      <c r="B944" s="5"/>
      <c r="C944" s="5"/>
      <c r="D944" s="5"/>
      <c r="E944" s="5"/>
      <c r="F944" s="5"/>
      <c r="P944" s="33"/>
      <c r="Q944" s="33"/>
      <c r="R944" s="33"/>
      <c r="S944" s="33"/>
      <c r="T944" s="33"/>
    </row>
    <row r="945" spans="2:20" ht="15.75" customHeight="1">
      <c r="B945" s="5"/>
      <c r="C945" s="5"/>
      <c r="D945" s="5"/>
      <c r="E945" s="5"/>
      <c r="F945" s="5"/>
      <c r="P945" s="33"/>
      <c r="Q945" s="33"/>
      <c r="R945" s="33"/>
      <c r="S945" s="33"/>
      <c r="T945" s="33"/>
    </row>
    <row r="946" spans="2:20" ht="15.75" customHeight="1">
      <c r="B946" s="5"/>
      <c r="C946" s="5"/>
      <c r="D946" s="5"/>
      <c r="E946" s="5"/>
      <c r="F946" s="5"/>
      <c r="P946" s="33"/>
      <c r="Q946" s="33"/>
      <c r="R946" s="33"/>
      <c r="S946" s="33"/>
      <c r="T946" s="33"/>
    </row>
    <row r="947" spans="2:20" ht="15.75" customHeight="1">
      <c r="B947" s="5"/>
      <c r="C947" s="5"/>
      <c r="D947" s="5"/>
      <c r="E947" s="5"/>
      <c r="F947" s="5"/>
      <c r="P947" s="33"/>
      <c r="Q947" s="33"/>
      <c r="R947" s="33"/>
      <c r="S947" s="33"/>
      <c r="T947" s="33"/>
    </row>
    <row r="948" spans="2:20" ht="15.75" customHeight="1">
      <c r="B948" s="5"/>
      <c r="C948" s="5"/>
      <c r="D948" s="5"/>
      <c r="E948" s="5"/>
      <c r="F948" s="5"/>
      <c r="P948" s="33"/>
      <c r="Q948" s="33"/>
      <c r="R948" s="33"/>
      <c r="S948" s="33"/>
      <c r="T948" s="33"/>
    </row>
    <row r="949" spans="2:20" ht="15.75" customHeight="1">
      <c r="B949" s="5"/>
      <c r="C949" s="5"/>
      <c r="D949" s="5"/>
      <c r="E949" s="5"/>
      <c r="F949" s="5"/>
      <c r="P949" s="33"/>
      <c r="Q949" s="33"/>
      <c r="R949" s="33"/>
      <c r="S949" s="33"/>
      <c r="T949" s="33"/>
    </row>
    <row r="950" spans="2:20" ht="15.75" customHeight="1">
      <c r="B950" s="5"/>
      <c r="C950" s="5"/>
      <c r="D950" s="5"/>
      <c r="E950" s="5"/>
      <c r="F950" s="5"/>
      <c r="P950" s="33"/>
      <c r="Q950" s="33"/>
      <c r="R950" s="33"/>
      <c r="S950" s="33"/>
      <c r="T950" s="33"/>
    </row>
    <row r="951" spans="2:20" ht="15.75" customHeight="1">
      <c r="B951" s="5"/>
      <c r="C951" s="5"/>
      <c r="D951" s="5"/>
      <c r="E951" s="5"/>
      <c r="F951" s="5"/>
      <c r="P951" s="33"/>
      <c r="Q951" s="33"/>
      <c r="R951" s="33"/>
      <c r="S951" s="33"/>
      <c r="T951" s="33"/>
    </row>
    <row r="952" spans="2:20" ht="15.75" customHeight="1">
      <c r="B952" s="5"/>
      <c r="C952" s="5"/>
      <c r="D952" s="5"/>
      <c r="E952" s="5"/>
      <c r="F952" s="5"/>
      <c r="P952" s="33"/>
      <c r="Q952" s="33"/>
      <c r="R952" s="33"/>
      <c r="S952" s="33"/>
      <c r="T952" s="33"/>
    </row>
    <row r="953" spans="2:20" ht="15.75" customHeight="1">
      <c r="B953" s="5"/>
      <c r="C953" s="5"/>
      <c r="D953" s="5"/>
      <c r="E953" s="5"/>
      <c r="F953" s="5"/>
      <c r="P953" s="33"/>
      <c r="Q953" s="33"/>
      <c r="R953" s="33"/>
      <c r="S953" s="33"/>
      <c r="T953" s="33"/>
    </row>
    <row r="954" spans="2:20" ht="15.75" customHeight="1">
      <c r="B954" s="5"/>
      <c r="C954" s="5"/>
      <c r="D954" s="5"/>
      <c r="E954" s="5"/>
      <c r="F954" s="5"/>
      <c r="P954" s="33"/>
      <c r="Q954" s="33"/>
      <c r="R954" s="33"/>
      <c r="S954" s="33"/>
      <c r="T954" s="33"/>
    </row>
    <row r="955" spans="2:20" ht="15.75" customHeight="1">
      <c r="B955" s="5"/>
      <c r="C955" s="5"/>
      <c r="D955" s="5"/>
      <c r="E955" s="5"/>
      <c r="F955" s="5"/>
      <c r="P955" s="33"/>
      <c r="Q955" s="33"/>
      <c r="R955" s="33"/>
      <c r="S955" s="33"/>
      <c r="T955" s="33"/>
    </row>
    <row r="956" spans="2:20" ht="15.75" customHeight="1">
      <c r="B956" s="5"/>
      <c r="C956" s="5"/>
      <c r="D956" s="5"/>
      <c r="E956" s="5"/>
      <c r="F956" s="5"/>
      <c r="P956" s="33"/>
      <c r="Q956" s="33"/>
      <c r="R956" s="33"/>
      <c r="S956" s="33"/>
      <c r="T956" s="33"/>
    </row>
    <row r="957" spans="2:20" ht="15.75" customHeight="1">
      <c r="B957" s="5"/>
      <c r="C957" s="5"/>
      <c r="D957" s="5"/>
      <c r="E957" s="5"/>
      <c r="F957" s="5"/>
      <c r="P957" s="33"/>
      <c r="Q957" s="33"/>
      <c r="R957" s="33"/>
      <c r="S957" s="33"/>
      <c r="T957" s="33"/>
    </row>
    <row r="958" spans="2:20" ht="15.75" customHeight="1">
      <c r="B958" s="5"/>
      <c r="C958" s="5"/>
      <c r="D958" s="5"/>
      <c r="E958" s="5"/>
      <c r="F958" s="5"/>
      <c r="P958" s="33"/>
      <c r="Q958" s="33"/>
      <c r="R958" s="33"/>
      <c r="S958" s="33"/>
      <c r="T958" s="33"/>
    </row>
    <row r="959" spans="2:20" ht="15.75" customHeight="1">
      <c r="B959" s="5"/>
      <c r="C959" s="5"/>
      <c r="D959" s="5"/>
      <c r="E959" s="5"/>
      <c r="F959" s="5"/>
      <c r="P959" s="33"/>
      <c r="Q959" s="33"/>
      <c r="R959" s="33"/>
      <c r="S959" s="33"/>
      <c r="T959" s="33"/>
    </row>
    <row r="960" spans="2:20" ht="15.75" customHeight="1">
      <c r="B960" s="5"/>
      <c r="C960" s="5"/>
      <c r="D960" s="5"/>
      <c r="E960" s="5"/>
      <c r="F960" s="5"/>
      <c r="P960" s="33"/>
      <c r="Q960" s="33"/>
      <c r="R960" s="33"/>
      <c r="S960" s="33"/>
      <c r="T960" s="33"/>
    </row>
    <row r="961" spans="2:20" ht="15.75" customHeight="1">
      <c r="B961" s="5"/>
      <c r="C961" s="5"/>
      <c r="D961" s="5"/>
      <c r="E961" s="5"/>
      <c r="F961" s="5"/>
      <c r="P961" s="33"/>
      <c r="Q961" s="33"/>
      <c r="R961" s="33"/>
      <c r="S961" s="33"/>
      <c r="T961" s="33"/>
    </row>
    <row r="962" spans="2:20" ht="15.75" customHeight="1">
      <c r="B962" s="5"/>
      <c r="C962" s="5"/>
      <c r="D962" s="5"/>
      <c r="E962" s="5"/>
      <c r="F962" s="5"/>
      <c r="P962" s="33"/>
      <c r="Q962" s="33"/>
      <c r="R962" s="33"/>
      <c r="S962" s="33"/>
      <c r="T962" s="33"/>
    </row>
    <row r="963" spans="2:20" ht="15.75" customHeight="1">
      <c r="B963" s="5"/>
      <c r="C963" s="5"/>
      <c r="D963" s="5"/>
      <c r="E963" s="5"/>
      <c r="F963" s="5"/>
      <c r="P963" s="33"/>
      <c r="Q963" s="33"/>
      <c r="R963" s="33"/>
      <c r="S963" s="33"/>
      <c r="T963" s="33"/>
    </row>
    <row r="964" spans="2:20" ht="15.75" customHeight="1">
      <c r="B964" s="5"/>
      <c r="C964" s="5"/>
      <c r="D964" s="5"/>
      <c r="E964" s="5"/>
      <c r="F964" s="5"/>
      <c r="P964" s="33"/>
      <c r="Q964" s="33"/>
      <c r="R964" s="33"/>
      <c r="S964" s="33"/>
      <c r="T964" s="33"/>
    </row>
    <row r="965" spans="2:20" ht="15.75" customHeight="1">
      <c r="B965" s="5"/>
      <c r="C965" s="5"/>
      <c r="D965" s="5"/>
      <c r="E965" s="5"/>
      <c r="F965" s="5"/>
      <c r="P965" s="33"/>
      <c r="Q965" s="33"/>
      <c r="R965" s="33"/>
      <c r="S965" s="33"/>
      <c r="T965" s="33"/>
    </row>
    <row r="966" spans="2:20" ht="15.75" customHeight="1">
      <c r="B966" s="5"/>
      <c r="C966" s="5"/>
      <c r="D966" s="5"/>
      <c r="E966" s="5"/>
      <c r="F966" s="5"/>
      <c r="P966" s="33"/>
      <c r="Q966" s="33"/>
      <c r="R966" s="33"/>
      <c r="S966" s="33"/>
      <c r="T966" s="33"/>
    </row>
    <row r="967" spans="2:20" ht="15.75" customHeight="1">
      <c r="B967" s="5"/>
      <c r="C967" s="5"/>
      <c r="D967" s="5"/>
      <c r="E967" s="5"/>
      <c r="F967" s="5"/>
      <c r="P967" s="33"/>
      <c r="Q967" s="33"/>
      <c r="R967" s="33"/>
      <c r="S967" s="33"/>
      <c r="T967" s="33"/>
    </row>
    <row r="968" spans="2:20" ht="15.75" customHeight="1">
      <c r="B968" s="5"/>
      <c r="C968" s="5"/>
      <c r="D968" s="5"/>
      <c r="E968" s="5"/>
      <c r="F968" s="5"/>
      <c r="P968" s="33"/>
      <c r="Q968" s="33"/>
      <c r="R968" s="33"/>
      <c r="S968" s="33"/>
      <c r="T968" s="33"/>
    </row>
    <row r="969" spans="2:20" ht="15.75" customHeight="1">
      <c r="B969" s="5"/>
      <c r="C969" s="5"/>
      <c r="D969" s="5"/>
      <c r="E969" s="5"/>
      <c r="F969" s="5"/>
      <c r="P969" s="33"/>
      <c r="Q969" s="33"/>
      <c r="R969" s="33"/>
      <c r="S969" s="33"/>
      <c r="T969" s="33"/>
    </row>
    <row r="970" spans="2:20" ht="15.75" customHeight="1">
      <c r="B970" s="5"/>
      <c r="C970" s="5"/>
      <c r="D970" s="5"/>
      <c r="E970" s="5"/>
      <c r="F970" s="5"/>
      <c r="P970" s="33"/>
      <c r="Q970" s="33"/>
      <c r="R970" s="33"/>
      <c r="S970" s="33"/>
      <c r="T970" s="33"/>
    </row>
    <row r="971" spans="2:20" ht="15.75" customHeight="1">
      <c r="B971" s="5"/>
      <c r="C971" s="5"/>
      <c r="D971" s="5"/>
      <c r="E971" s="5"/>
      <c r="F971" s="5"/>
      <c r="P971" s="33"/>
      <c r="Q971" s="33"/>
      <c r="R971" s="33"/>
      <c r="S971" s="33"/>
      <c r="T971" s="33"/>
    </row>
    <row r="972" spans="2:20" ht="15.75" customHeight="1">
      <c r="B972" s="5"/>
      <c r="C972" s="5"/>
      <c r="D972" s="5"/>
      <c r="E972" s="5"/>
      <c r="F972" s="5"/>
      <c r="P972" s="33"/>
      <c r="Q972" s="33"/>
      <c r="R972" s="33"/>
      <c r="S972" s="33"/>
      <c r="T972" s="33"/>
    </row>
    <row r="973" spans="2:20" ht="15.75" customHeight="1">
      <c r="B973" s="5"/>
      <c r="C973" s="5"/>
      <c r="D973" s="5"/>
      <c r="E973" s="5"/>
      <c r="F973" s="5"/>
      <c r="P973" s="33"/>
      <c r="Q973" s="33"/>
      <c r="R973" s="33"/>
      <c r="S973" s="33"/>
      <c r="T973" s="33"/>
    </row>
    <row r="974" spans="2:20" ht="15.75" customHeight="1">
      <c r="B974" s="5"/>
      <c r="C974" s="5"/>
      <c r="D974" s="5"/>
      <c r="E974" s="5"/>
      <c r="F974" s="5"/>
      <c r="P974" s="33"/>
      <c r="Q974" s="33"/>
      <c r="R974" s="33"/>
      <c r="S974" s="33"/>
      <c r="T974" s="33"/>
    </row>
    <row r="975" spans="2:20" ht="15.75" customHeight="1">
      <c r="B975" s="5"/>
      <c r="C975" s="5"/>
      <c r="D975" s="5"/>
      <c r="E975" s="5"/>
      <c r="F975" s="5"/>
      <c r="P975" s="33"/>
      <c r="Q975" s="33"/>
      <c r="R975" s="33"/>
      <c r="S975" s="33"/>
      <c r="T975" s="33"/>
    </row>
    <row r="976" spans="2:20" ht="15.75" customHeight="1">
      <c r="B976" s="5"/>
      <c r="C976" s="5"/>
      <c r="D976" s="5"/>
      <c r="E976" s="5"/>
      <c r="F976" s="5"/>
      <c r="P976" s="33"/>
      <c r="Q976" s="33"/>
      <c r="R976" s="33"/>
      <c r="S976" s="33"/>
      <c r="T976" s="33"/>
    </row>
    <row r="977" spans="2:20" ht="15.75" customHeight="1">
      <c r="B977" s="5"/>
      <c r="C977" s="5"/>
      <c r="D977" s="5"/>
      <c r="E977" s="5"/>
      <c r="F977" s="5"/>
      <c r="P977" s="33"/>
      <c r="Q977" s="33"/>
      <c r="R977" s="33"/>
      <c r="S977" s="33"/>
      <c r="T977" s="33"/>
    </row>
    <row r="978" spans="2:20" ht="15.75" customHeight="1">
      <c r="B978" s="5"/>
      <c r="C978" s="5"/>
      <c r="D978" s="5"/>
      <c r="E978" s="5"/>
      <c r="F978" s="5"/>
      <c r="P978" s="33"/>
      <c r="Q978" s="33"/>
      <c r="R978" s="33"/>
      <c r="S978" s="33"/>
      <c r="T978" s="33"/>
    </row>
    <row r="979" spans="2:20" ht="15.75" customHeight="1">
      <c r="B979" s="5"/>
      <c r="C979" s="5"/>
      <c r="D979" s="5"/>
      <c r="E979" s="5"/>
      <c r="F979" s="5"/>
      <c r="P979" s="33"/>
      <c r="Q979" s="33"/>
      <c r="R979" s="33"/>
      <c r="S979" s="33"/>
      <c r="T979" s="33"/>
    </row>
    <row r="980" spans="2:20" ht="15.75" customHeight="1">
      <c r="B980" s="5"/>
      <c r="C980" s="5"/>
      <c r="D980" s="5"/>
      <c r="E980" s="5"/>
      <c r="F980" s="5"/>
      <c r="P980" s="33"/>
      <c r="Q980" s="33"/>
      <c r="R980" s="33"/>
      <c r="S980" s="33"/>
      <c r="T980" s="33"/>
    </row>
    <row r="981" spans="2:20" ht="15.75" customHeight="1">
      <c r="B981" s="5"/>
      <c r="C981" s="5"/>
      <c r="D981" s="5"/>
      <c r="E981" s="5"/>
      <c r="F981" s="5"/>
      <c r="P981" s="33"/>
      <c r="Q981" s="33"/>
      <c r="R981" s="33"/>
      <c r="S981" s="33"/>
      <c r="T981" s="33"/>
    </row>
    <row r="982" spans="2:20" ht="15.75" customHeight="1">
      <c r="B982" s="5"/>
      <c r="C982" s="5"/>
      <c r="D982" s="5"/>
      <c r="E982" s="5"/>
      <c r="F982" s="5"/>
      <c r="P982" s="33"/>
      <c r="Q982" s="33"/>
      <c r="R982" s="33"/>
      <c r="S982" s="33"/>
      <c r="T982" s="33"/>
    </row>
    <row r="983" spans="2:20" ht="15.75" customHeight="1">
      <c r="B983" s="5"/>
      <c r="C983" s="5"/>
      <c r="D983" s="5"/>
      <c r="E983" s="5"/>
      <c r="F983" s="5"/>
      <c r="P983" s="33"/>
      <c r="Q983" s="33"/>
      <c r="R983" s="33"/>
      <c r="S983" s="33"/>
      <c r="T983" s="33"/>
    </row>
    <row r="984" spans="2:20" ht="15.75" customHeight="1">
      <c r="B984" s="5"/>
      <c r="C984" s="5"/>
      <c r="D984" s="5"/>
      <c r="E984" s="5"/>
      <c r="F984" s="5"/>
      <c r="P984" s="33"/>
      <c r="Q984" s="33"/>
      <c r="R984" s="33"/>
      <c r="S984" s="33"/>
      <c r="T984" s="33"/>
    </row>
    <row r="985" spans="2:20" ht="15.75" customHeight="1">
      <c r="B985" s="5"/>
      <c r="C985" s="5"/>
      <c r="D985" s="5"/>
      <c r="E985" s="5"/>
      <c r="F985" s="5"/>
      <c r="P985" s="33"/>
      <c r="Q985" s="33"/>
      <c r="R985" s="33"/>
      <c r="S985" s="33"/>
      <c r="T985" s="33"/>
    </row>
    <row r="986" spans="2:20" ht="15.75" customHeight="1">
      <c r="B986" s="5"/>
      <c r="C986" s="5"/>
      <c r="D986" s="5"/>
      <c r="E986" s="5"/>
      <c r="F986" s="5"/>
      <c r="P986" s="33"/>
      <c r="Q986" s="33"/>
      <c r="R986" s="33"/>
      <c r="S986" s="33"/>
      <c r="T986" s="33"/>
    </row>
    <row r="987" spans="2:20" ht="15.75" customHeight="1">
      <c r="B987" s="5"/>
      <c r="C987" s="5"/>
      <c r="D987" s="5"/>
      <c r="E987" s="5"/>
      <c r="F987" s="5"/>
      <c r="P987" s="33"/>
      <c r="Q987" s="33"/>
      <c r="R987" s="33"/>
      <c r="S987" s="33"/>
      <c r="T987" s="33"/>
    </row>
    <row r="988" spans="2:20" ht="15.75" customHeight="1">
      <c r="B988" s="5"/>
      <c r="C988" s="5"/>
      <c r="D988" s="5"/>
      <c r="E988" s="5"/>
      <c r="F988" s="5"/>
      <c r="P988" s="33"/>
      <c r="Q988" s="33"/>
      <c r="R988" s="33"/>
      <c r="S988" s="33"/>
      <c r="T988" s="33"/>
    </row>
    <row r="989" spans="2:20" ht="15.75" customHeight="1">
      <c r="B989" s="5"/>
      <c r="C989" s="5"/>
      <c r="D989" s="5"/>
      <c r="E989" s="5"/>
      <c r="F989" s="5"/>
      <c r="P989" s="33"/>
      <c r="Q989" s="33"/>
      <c r="R989" s="33"/>
      <c r="S989" s="33"/>
      <c r="T989" s="33"/>
    </row>
    <row r="990" spans="2:20" ht="15.75" customHeight="1">
      <c r="B990" s="5"/>
      <c r="C990" s="5"/>
      <c r="D990" s="5"/>
      <c r="E990" s="5"/>
      <c r="F990" s="5"/>
      <c r="P990" s="33"/>
      <c r="Q990" s="33"/>
      <c r="R990" s="33"/>
      <c r="S990" s="33"/>
      <c r="T990" s="33"/>
    </row>
    <row r="991" spans="2:20" ht="15.75" customHeight="1">
      <c r="B991" s="5"/>
      <c r="C991" s="5"/>
      <c r="D991" s="5"/>
      <c r="E991" s="5"/>
      <c r="F991" s="5"/>
      <c r="P991" s="33"/>
      <c r="Q991" s="33"/>
      <c r="R991" s="33"/>
      <c r="S991" s="33"/>
      <c r="T991" s="33"/>
    </row>
    <row r="992" spans="2:20" ht="15.75" customHeight="1">
      <c r="B992" s="5"/>
      <c r="C992" s="5"/>
      <c r="D992" s="5"/>
      <c r="E992" s="5"/>
      <c r="F992" s="5"/>
      <c r="P992" s="33"/>
      <c r="Q992" s="33"/>
      <c r="R992" s="33"/>
      <c r="S992" s="33"/>
      <c r="T992" s="33"/>
    </row>
    <row r="993" spans="2:20" ht="15.75" customHeight="1">
      <c r="B993" s="5"/>
      <c r="C993" s="5"/>
      <c r="D993" s="5"/>
      <c r="E993" s="5"/>
      <c r="F993" s="5"/>
      <c r="P993" s="33"/>
      <c r="Q993" s="33"/>
      <c r="R993" s="33"/>
      <c r="S993" s="33"/>
      <c r="T993" s="33"/>
    </row>
    <row r="994" spans="2:20" ht="15.75" customHeight="1">
      <c r="B994" s="5"/>
      <c r="C994" s="5"/>
      <c r="D994" s="5"/>
      <c r="E994" s="5"/>
      <c r="F994" s="5"/>
      <c r="P994" s="33"/>
      <c r="Q994" s="33"/>
      <c r="R994" s="33"/>
      <c r="S994" s="33"/>
      <c r="T994" s="33"/>
    </row>
    <row r="995" spans="2:20" ht="15.75" customHeight="1">
      <c r="B995" s="5"/>
      <c r="C995" s="5"/>
      <c r="D995" s="5"/>
      <c r="E995" s="5"/>
      <c r="F995" s="5"/>
      <c r="P995" s="33"/>
      <c r="Q995" s="33"/>
      <c r="R995" s="33"/>
      <c r="S995" s="33"/>
      <c r="T995" s="33"/>
    </row>
    <row r="996" spans="2:20" ht="15.75" customHeight="1">
      <c r="B996" s="5"/>
      <c r="C996" s="5"/>
      <c r="D996" s="5"/>
      <c r="E996" s="5"/>
      <c r="F996" s="5"/>
      <c r="P996" s="33"/>
      <c r="Q996" s="33"/>
      <c r="R996" s="33"/>
      <c r="S996" s="33"/>
      <c r="T996" s="33"/>
    </row>
    <row r="997" spans="2:20" ht="15.75" customHeight="1">
      <c r="B997" s="5"/>
      <c r="C997" s="5"/>
      <c r="D997" s="5"/>
      <c r="E997" s="5"/>
      <c r="F997" s="5"/>
      <c r="P997" s="33"/>
      <c r="Q997" s="33"/>
      <c r="R997" s="33"/>
      <c r="S997" s="33"/>
      <c r="T997" s="33"/>
    </row>
    <row r="998" spans="2:20" ht="15.75" customHeight="1">
      <c r="B998" s="5"/>
      <c r="C998" s="5"/>
      <c r="D998" s="5"/>
      <c r="E998" s="5"/>
      <c r="F998" s="5"/>
      <c r="P998" s="33"/>
      <c r="Q998" s="33"/>
      <c r="R998" s="33"/>
      <c r="S998" s="33"/>
      <c r="T998" s="33"/>
    </row>
    <row r="999" spans="2:20" ht="15.75" customHeight="1">
      <c r="B999" s="5"/>
      <c r="C999" s="5"/>
      <c r="D999" s="5"/>
      <c r="E999" s="5"/>
      <c r="F999" s="5"/>
      <c r="P999" s="33"/>
      <c r="Q999" s="33"/>
      <c r="R999" s="33"/>
      <c r="S999" s="33"/>
      <c r="T999" s="33"/>
    </row>
    <row r="1000" spans="2:20" ht="15.75" customHeight="1">
      <c r="B1000" s="5"/>
      <c r="C1000" s="5"/>
      <c r="D1000" s="5"/>
      <c r="E1000" s="5"/>
      <c r="F1000" s="5"/>
      <c r="P1000" s="33"/>
      <c r="Q1000" s="33"/>
      <c r="R1000" s="33"/>
      <c r="S1000" s="33"/>
      <c r="T1000" s="33"/>
    </row>
    <row r="1001" spans="2:20" ht="15.75" customHeight="1">
      <c r="B1001" s="5"/>
      <c r="C1001" s="5"/>
      <c r="D1001" s="5"/>
      <c r="E1001" s="5"/>
      <c r="F1001" s="5"/>
      <c r="P1001" s="33"/>
      <c r="Q1001" s="33"/>
      <c r="R1001" s="33"/>
      <c r="S1001" s="33"/>
      <c r="T1001" s="33"/>
    </row>
    <row r="1002" spans="2:20" ht="15.75" customHeight="1">
      <c r="B1002" s="5"/>
      <c r="C1002" s="5"/>
      <c r="D1002" s="5"/>
      <c r="E1002" s="5"/>
      <c r="F1002" s="5"/>
      <c r="P1002" s="33"/>
      <c r="Q1002" s="33"/>
      <c r="R1002" s="33"/>
      <c r="S1002" s="33"/>
      <c r="T1002" s="33"/>
    </row>
    <row r="1003" spans="2:20" ht="15.75" customHeight="1">
      <c r="B1003" s="5"/>
      <c r="C1003" s="5"/>
      <c r="D1003" s="5"/>
      <c r="E1003" s="5"/>
      <c r="F1003" s="5"/>
      <c r="P1003" s="33"/>
      <c r="Q1003" s="33"/>
      <c r="R1003" s="33"/>
      <c r="S1003" s="33"/>
      <c r="T1003" s="33"/>
    </row>
    <row r="1004" spans="2:20" ht="15.75" customHeight="1">
      <c r="B1004" s="5"/>
      <c r="C1004" s="5"/>
      <c r="D1004" s="5"/>
      <c r="E1004" s="5"/>
      <c r="F1004" s="5"/>
      <c r="P1004" s="33"/>
      <c r="Q1004" s="33"/>
      <c r="R1004" s="33"/>
      <c r="S1004" s="33"/>
      <c r="T1004" s="33"/>
    </row>
    <row r="1005" spans="2:20" ht="15.75" customHeight="1">
      <c r="B1005" s="5"/>
      <c r="C1005" s="5"/>
      <c r="D1005" s="5"/>
      <c r="E1005" s="5"/>
      <c r="F1005" s="5"/>
      <c r="P1005" s="33"/>
      <c r="Q1005" s="33"/>
      <c r="R1005" s="33"/>
      <c r="S1005" s="33"/>
      <c r="T1005" s="33"/>
    </row>
  </sheetData>
  <conditionalFormatting sqref="E6:E16">
    <cfRule type="cellIs" dxfId="5" priority="1" operator="greaterThanOrEqual">
      <formula>0</formula>
    </cfRule>
  </conditionalFormatting>
  <conditionalFormatting sqref="E6:E16"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5"/>
  <sheetViews>
    <sheetView workbookViewId="0">
      <selection activeCell="V1" sqref="V1:Y1048576"/>
    </sheetView>
  </sheetViews>
  <sheetFormatPr baseColWidth="10" defaultColWidth="11.1640625" defaultRowHeight="15" customHeight="1"/>
  <cols>
    <col min="1" max="1" width="11.83203125" customWidth="1"/>
    <col min="2" max="2" width="8.33203125" customWidth="1"/>
    <col min="3" max="3" width="8.83203125" customWidth="1"/>
    <col min="4" max="4" width="7.1640625" customWidth="1"/>
    <col min="5" max="5" width="10.5" customWidth="1"/>
    <col min="6" max="6" width="9" customWidth="1"/>
    <col min="7" max="7" width="5.1640625" customWidth="1"/>
    <col min="8" max="8" width="4.33203125" customWidth="1"/>
    <col min="9" max="9" width="4.1640625" customWidth="1"/>
    <col min="10" max="10" width="5.33203125" customWidth="1"/>
    <col min="11" max="11" width="6.1640625" customWidth="1"/>
    <col min="12" max="13" width="2.6640625" customWidth="1"/>
    <col min="14" max="14" width="12.1640625" customWidth="1"/>
    <col min="15" max="15" width="1.5" customWidth="1"/>
    <col min="16" max="16" width="6.1640625" customWidth="1"/>
    <col min="17" max="17" width="4" customWidth="1"/>
    <col min="18" max="18" width="4.33203125" customWidth="1"/>
    <col min="19" max="19" width="5.83203125" customWidth="1"/>
    <col min="20" max="20" width="6.5" customWidth="1"/>
    <col min="21" max="26" width="10.5" customWidth="1"/>
  </cols>
  <sheetData>
    <row r="1" spans="1:26" ht="15.75" customHeight="1">
      <c r="A1" s="2" t="s">
        <v>1</v>
      </c>
      <c r="B1" s="4" t="s">
        <v>3</v>
      </c>
      <c r="C1" s="5"/>
      <c r="D1" s="5"/>
      <c r="E1" s="5"/>
      <c r="F1" s="5"/>
      <c r="P1" s="33"/>
      <c r="Q1" s="33"/>
      <c r="R1" s="33"/>
      <c r="S1" s="33"/>
      <c r="T1" s="33"/>
    </row>
    <row r="2" spans="1:26" ht="15.75" customHeight="1">
      <c r="A2" s="2" t="s">
        <v>6</v>
      </c>
      <c r="B2" s="4" t="s">
        <v>14</v>
      </c>
      <c r="C2" s="39" t="s">
        <v>74</v>
      </c>
      <c r="D2" s="5"/>
      <c r="E2" s="5"/>
      <c r="F2" s="5"/>
      <c r="P2" s="33"/>
      <c r="Q2" s="33"/>
      <c r="R2" s="33"/>
      <c r="S2" s="33"/>
      <c r="T2" s="33"/>
    </row>
    <row r="3" spans="1:26" ht="15.75" customHeight="1">
      <c r="A3" s="2" t="s">
        <v>10</v>
      </c>
      <c r="B3" s="9">
        <v>0.59722222222222221</v>
      </c>
      <c r="C3" s="10">
        <v>43665</v>
      </c>
      <c r="D3" s="5"/>
      <c r="E3" s="5"/>
      <c r="F3" s="5"/>
      <c r="P3" s="33"/>
      <c r="Q3" s="33"/>
      <c r="R3" s="33"/>
      <c r="S3" s="33"/>
      <c r="T3" s="33"/>
    </row>
    <row r="4" spans="1:26" ht="15.75" customHeight="1">
      <c r="B4" s="5"/>
      <c r="C4" s="5"/>
      <c r="D4" s="5"/>
      <c r="E4" s="5"/>
      <c r="G4" s="4" t="s">
        <v>15</v>
      </c>
      <c r="P4" s="14" t="s">
        <v>49</v>
      </c>
      <c r="Q4" s="40"/>
      <c r="R4" s="33"/>
      <c r="S4" s="33"/>
      <c r="T4" s="41" t="s">
        <v>50</v>
      </c>
    </row>
    <row r="5" spans="1:26" ht="15.75" customHeight="1">
      <c r="A5" s="12" t="s">
        <v>18</v>
      </c>
      <c r="B5" s="12" t="s">
        <v>19</v>
      </c>
      <c r="C5" s="12" t="s">
        <v>20</v>
      </c>
      <c r="D5" s="12" t="s">
        <v>21</v>
      </c>
      <c r="E5" s="4" t="s">
        <v>22</v>
      </c>
      <c r="G5" s="4" t="s">
        <v>23</v>
      </c>
      <c r="H5" s="14" t="s">
        <v>24</v>
      </c>
      <c r="I5" s="12" t="s">
        <v>25</v>
      </c>
      <c r="J5" s="12" t="s">
        <v>26</v>
      </c>
      <c r="K5" s="12" t="s">
        <v>27</v>
      </c>
      <c r="L5" s="12"/>
      <c r="N5" s="16" t="s">
        <v>28</v>
      </c>
      <c r="P5" s="14" t="s">
        <v>51</v>
      </c>
      <c r="Q5" s="14" t="s">
        <v>52</v>
      </c>
      <c r="R5" s="14" t="s">
        <v>53</v>
      </c>
      <c r="S5" s="14" t="s">
        <v>54</v>
      </c>
      <c r="T5" s="41" t="s">
        <v>55</v>
      </c>
      <c r="V5" s="59" t="s">
        <v>89</v>
      </c>
      <c r="W5" s="59" t="s">
        <v>90</v>
      </c>
      <c r="X5" s="59" t="s">
        <v>91</v>
      </c>
      <c r="Y5" s="59" t="s">
        <v>92</v>
      </c>
    </row>
    <row r="6" spans="1:26" ht="15.75" customHeight="1">
      <c r="A6" s="35">
        <v>1</v>
      </c>
      <c r="B6" s="35">
        <v>3.63</v>
      </c>
      <c r="C6" s="35">
        <v>210</v>
      </c>
      <c r="D6" s="53">
        <f t="shared" ref="D6:D10" si="0">AVERAGE(G6:K6)</f>
        <v>225.66666666666666</v>
      </c>
      <c r="E6" s="20">
        <f t="shared" ref="E6:E10" si="1">IF(ABS(D6-C6)&gt;180,360-ABS(D6-C6),D6-C6)</f>
        <v>15.666666666666657</v>
      </c>
      <c r="G6" s="13"/>
      <c r="H6" s="54">
        <v>220</v>
      </c>
      <c r="I6" s="13">
        <v>229</v>
      </c>
      <c r="J6" s="13">
        <v>228</v>
      </c>
      <c r="K6" s="13"/>
      <c r="L6" s="13"/>
      <c r="N6" s="15" t="s">
        <v>75</v>
      </c>
      <c r="O6" s="22"/>
      <c r="P6" s="21">
        <v>1.1299999999999999</v>
      </c>
      <c r="Q6" s="34">
        <v>242</v>
      </c>
      <c r="R6" s="21">
        <v>24.5</v>
      </c>
      <c r="S6" s="42">
        <f t="shared" ref="S6:S10" si="2">COS(RADIANS(C6-Q6))*P6*R6/60</f>
        <v>0.39130352570151083</v>
      </c>
      <c r="T6" s="43">
        <f t="shared" ref="T6:T10" si="3">B6-S6</f>
        <v>3.2386964742984889</v>
      </c>
      <c r="V6" s="19">
        <f>IF(ISBLANK(A6),"",A6)</f>
        <v>1</v>
      </c>
      <c r="W6" s="61">
        <f>IF(V6="","",IF(ISBLANK(T6),B6,T6))</f>
        <v>3.2386964742984889</v>
      </c>
      <c r="X6" s="21">
        <f>IF(V6="","",C6)</f>
        <v>210</v>
      </c>
      <c r="Y6" s="60">
        <f>IF(V6="","",D6)</f>
        <v>225.66666666666666</v>
      </c>
    </row>
    <row r="7" spans="1:26" ht="15.75" customHeight="1">
      <c r="A7" s="35">
        <v>2</v>
      </c>
      <c r="B7" s="35">
        <v>2.7</v>
      </c>
      <c r="C7" s="35">
        <v>300</v>
      </c>
      <c r="D7" s="53">
        <f t="shared" si="0"/>
        <v>240.25</v>
      </c>
      <c r="E7" s="20">
        <f t="shared" si="1"/>
        <v>-59.75</v>
      </c>
      <c r="G7" s="13"/>
      <c r="H7" s="54">
        <v>238</v>
      </c>
      <c r="I7" s="13">
        <v>239</v>
      </c>
      <c r="J7" s="13">
        <v>244</v>
      </c>
      <c r="K7" s="13">
        <v>240</v>
      </c>
      <c r="L7" s="13"/>
      <c r="N7" s="15" t="s">
        <v>76</v>
      </c>
      <c r="O7" s="23"/>
      <c r="P7" s="34">
        <v>1.03</v>
      </c>
      <c r="Q7" s="34">
        <v>196</v>
      </c>
      <c r="R7" s="34">
        <v>0</v>
      </c>
      <c r="S7" s="42">
        <f t="shared" si="2"/>
        <v>0</v>
      </c>
      <c r="T7" s="43">
        <f t="shared" si="3"/>
        <v>2.7</v>
      </c>
      <c r="U7" s="3" t="s">
        <v>77</v>
      </c>
      <c r="V7" s="19">
        <f>IF(ISBLANK(A7),"",A7)</f>
        <v>2</v>
      </c>
      <c r="W7" s="61">
        <f t="shared" ref="W7:W12" si="4">IF(V7="","",IF(ISBLANK(T7),B7,T7))</f>
        <v>2.7</v>
      </c>
      <c r="X7" s="21">
        <f t="shared" ref="X7:X12" si="5">IF(V7="","",C7)</f>
        <v>300</v>
      </c>
      <c r="Y7" s="60">
        <f t="shared" ref="Y7:Y12" si="6">IF(V7="","",D7)</f>
        <v>240.25</v>
      </c>
    </row>
    <row r="8" spans="1:26" ht="15.75" customHeight="1">
      <c r="A8" s="35">
        <v>3</v>
      </c>
      <c r="B8" s="35">
        <v>3.1</v>
      </c>
      <c r="C8" s="35">
        <v>27</v>
      </c>
      <c r="D8" s="53">
        <f t="shared" si="0"/>
        <v>230.75</v>
      </c>
      <c r="E8" s="20">
        <f t="shared" si="1"/>
        <v>156.25</v>
      </c>
      <c r="G8" s="13"/>
      <c r="H8" s="54">
        <v>232</v>
      </c>
      <c r="I8" s="13">
        <v>236</v>
      </c>
      <c r="J8" s="13">
        <v>229</v>
      </c>
      <c r="K8" s="13">
        <v>226</v>
      </c>
      <c r="L8" s="13"/>
      <c r="N8" s="15" t="s">
        <v>78</v>
      </c>
      <c r="O8" s="23"/>
      <c r="P8" s="21">
        <v>1.03</v>
      </c>
      <c r="Q8" s="34">
        <v>180</v>
      </c>
      <c r="R8" s="21">
        <v>15</v>
      </c>
      <c r="S8" s="42">
        <f t="shared" si="2"/>
        <v>-0.22943417997850471</v>
      </c>
      <c r="T8" s="43">
        <f t="shared" si="3"/>
        <v>3.329434179978505</v>
      </c>
      <c r="V8" s="19">
        <f>IF(ISBLANK(A8),"",A8)</f>
        <v>3</v>
      </c>
      <c r="W8" s="61">
        <f t="shared" si="4"/>
        <v>3.329434179978505</v>
      </c>
      <c r="X8" s="21">
        <f t="shared" si="5"/>
        <v>27</v>
      </c>
      <c r="Y8" s="60">
        <f t="shared" si="6"/>
        <v>230.75</v>
      </c>
    </row>
    <row r="9" spans="1:26" ht="15.75" customHeight="1">
      <c r="A9" s="35">
        <v>4</v>
      </c>
      <c r="B9" s="35">
        <v>2.97</v>
      </c>
      <c r="C9" s="46">
        <v>192</v>
      </c>
      <c r="D9" s="53">
        <f t="shared" si="0"/>
        <v>241</v>
      </c>
      <c r="E9" s="20">
        <f t="shared" si="1"/>
        <v>49</v>
      </c>
      <c r="G9" s="28"/>
      <c r="H9" s="54">
        <v>227</v>
      </c>
      <c r="I9" s="13">
        <v>241</v>
      </c>
      <c r="J9" s="13">
        <v>249</v>
      </c>
      <c r="K9" s="13">
        <v>247</v>
      </c>
      <c r="L9" s="13"/>
      <c r="N9" s="15" t="s">
        <v>79</v>
      </c>
      <c r="O9" s="23"/>
      <c r="P9" s="21">
        <v>0.77</v>
      </c>
      <c r="Q9" s="34">
        <v>202</v>
      </c>
      <c r="R9" s="21">
        <v>16</v>
      </c>
      <c r="S9" s="42">
        <f t="shared" si="2"/>
        <v>0.20221385861850674</v>
      </c>
      <c r="T9" s="43">
        <f t="shared" si="3"/>
        <v>2.7677861413814933</v>
      </c>
      <c r="V9" s="19">
        <f t="shared" ref="V9:V12" si="7">IF(ISBLANK(A9),"",A9)</f>
        <v>4</v>
      </c>
      <c r="W9" s="61">
        <f t="shared" si="4"/>
        <v>2.7677861413814933</v>
      </c>
      <c r="X9" s="21">
        <f t="shared" si="5"/>
        <v>192</v>
      </c>
      <c r="Y9" s="60">
        <f t="shared" si="6"/>
        <v>241</v>
      </c>
    </row>
    <row r="10" spans="1:26" ht="15.75" customHeight="1">
      <c r="A10" s="35">
        <v>5</v>
      </c>
      <c r="B10" s="35">
        <v>3.9</v>
      </c>
      <c r="C10" s="46">
        <v>63</v>
      </c>
      <c r="D10" s="53">
        <f t="shared" si="0"/>
        <v>227</v>
      </c>
      <c r="E10" s="20">
        <f t="shared" si="1"/>
        <v>164</v>
      </c>
      <c r="G10" s="28"/>
      <c r="H10" s="54">
        <v>231</v>
      </c>
      <c r="I10" s="13">
        <v>229</v>
      </c>
      <c r="J10" s="13">
        <v>233</v>
      </c>
      <c r="K10" s="13">
        <v>215</v>
      </c>
      <c r="L10" s="13"/>
      <c r="N10" s="15" t="s">
        <v>69</v>
      </c>
      <c r="O10" s="23"/>
      <c r="P10" s="21">
        <v>0.8</v>
      </c>
      <c r="Q10" s="34">
        <v>200</v>
      </c>
      <c r="R10" s="21">
        <v>18.7</v>
      </c>
      <c r="S10" s="42">
        <f t="shared" si="2"/>
        <v>-0.18235085627037986</v>
      </c>
      <c r="T10" s="43">
        <f t="shared" si="3"/>
        <v>4.0823508562703799</v>
      </c>
      <c r="V10" s="19">
        <f t="shared" si="7"/>
        <v>5</v>
      </c>
      <c r="W10" s="61">
        <f t="shared" si="4"/>
        <v>4.0823508562703799</v>
      </c>
      <c r="X10" s="21">
        <f t="shared" si="5"/>
        <v>63</v>
      </c>
      <c r="Y10" s="60">
        <f t="shared" si="6"/>
        <v>227</v>
      </c>
    </row>
    <row r="11" spans="1:26" ht="15.75" customHeight="1">
      <c r="A11" s="13"/>
      <c r="B11" s="13"/>
      <c r="C11" s="25"/>
      <c r="D11" s="53"/>
      <c r="E11" s="20"/>
      <c r="G11" s="28"/>
      <c r="H11" s="21"/>
      <c r="I11" s="13"/>
      <c r="J11" s="13"/>
      <c r="K11" s="13"/>
      <c r="L11" s="13"/>
      <c r="N11" s="15"/>
      <c r="O11" s="23"/>
      <c r="P11" s="21"/>
      <c r="Q11" s="21"/>
      <c r="R11" s="21"/>
      <c r="S11" s="42"/>
      <c r="T11" s="42"/>
      <c r="V11" s="19" t="str">
        <f t="shared" si="7"/>
        <v/>
      </c>
      <c r="W11" s="61" t="str">
        <f t="shared" si="4"/>
        <v/>
      </c>
      <c r="X11" s="21" t="str">
        <f t="shared" si="5"/>
        <v/>
      </c>
      <c r="Y11" s="60" t="str">
        <f t="shared" si="6"/>
        <v/>
      </c>
    </row>
    <row r="12" spans="1:26" ht="15.75" customHeight="1">
      <c r="A12" s="13"/>
      <c r="B12" s="13"/>
      <c r="C12" s="25"/>
      <c r="D12" s="53"/>
      <c r="E12" s="20"/>
      <c r="G12" s="28"/>
      <c r="H12" s="21"/>
      <c r="I12" s="13"/>
      <c r="J12" s="13"/>
      <c r="K12" s="13"/>
      <c r="L12" s="13"/>
      <c r="N12" s="15"/>
      <c r="O12" s="23"/>
      <c r="P12" s="21"/>
      <c r="Q12" s="34"/>
      <c r="R12" s="21"/>
      <c r="S12" s="42"/>
      <c r="T12" s="42"/>
      <c r="U12" s="2"/>
      <c r="V12" s="19" t="str">
        <f t="shared" si="7"/>
        <v/>
      </c>
      <c r="W12" s="61" t="str">
        <f t="shared" si="4"/>
        <v/>
      </c>
      <c r="X12" s="21" t="str">
        <f t="shared" si="5"/>
        <v/>
      </c>
      <c r="Y12" s="60" t="str">
        <f t="shared" si="6"/>
        <v/>
      </c>
      <c r="Z12" s="2"/>
    </row>
    <row r="13" spans="1:26" ht="15.75" customHeight="1">
      <c r="A13" s="14" t="s">
        <v>32</v>
      </c>
      <c r="B13" s="8">
        <f>SUM(B6:B12)</f>
        <v>16.3</v>
      </c>
      <c r="C13" s="25"/>
      <c r="D13" s="53"/>
      <c r="E13" s="20"/>
      <c r="G13" s="28"/>
      <c r="H13" s="21"/>
      <c r="I13" s="13"/>
      <c r="J13" s="13"/>
      <c r="K13" s="13"/>
      <c r="L13" s="13"/>
      <c r="N13" s="15"/>
      <c r="O13" s="23"/>
      <c r="P13" s="21"/>
      <c r="Q13" s="34"/>
      <c r="R13" s="21"/>
      <c r="S13" s="42"/>
      <c r="T13" s="42"/>
      <c r="U13" s="2"/>
      <c r="V13" s="19"/>
      <c r="W13" s="61"/>
      <c r="X13" s="21"/>
      <c r="Y13" s="60"/>
      <c r="Z13" s="2"/>
    </row>
    <row r="14" spans="1:26" ht="15.75" customHeight="1">
      <c r="A14" s="13"/>
      <c r="B14" s="27"/>
      <c r="C14" s="28"/>
      <c r="D14" s="25"/>
      <c r="E14" s="5"/>
      <c r="G14" s="28"/>
      <c r="H14" s="21"/>
      <c r="I14" s="13"/>
      <c r="J14" s="13"/>
      <c r="K14" s="13"/>
      <c r="L14" s="13"/>
      <c r="N14" s="29">
        <v>1</v>
      </c>
      <c r="O14" s="23"/>
      <c r="P14" s="52">
        <f t="shared" ref="P14:P18" si="8">COS(RADIANS(Q6-C6))</f>
        <v>0.84804809615642596</v>
      </c>
      <c r="Q14" s="33"/>
      <c r="R14" s="26"/>
      <c r="S14" s="8"/>
      <c r="T14" s="8"/>
      <c r="U14" s="2"/>
      <c r="V14" s="2"/>
      <c r="W14" s="2"/>
      <c r="X14" s="2"/>
      <c r="Y14" s="2"/>
      <c r="Z14" s="2"/>
    </row>
    <row r="15" spans="1:26" ht="15.75" customHeight="1">
      <c r="A15" s="13"/>
      <c r="B15" s="27"/>
      <c r="C15" s="28"/>
      <c r="D15" s="25"/>
      <c r="E15" s="5"/>
      <c r="G15" s="28"/>
      <c r="H15" s="21"/>
      <c r="I15" s="13"/>
      <c r="J15" s="13"/>
      <c r="K15" s="13"/>
      <c r="L15" s="13"/>
      <c r="N15" s="29">
        <v>2</v>
      </c>
      <c r="O15" s="23"/>
      <c r="P15" s="52">
        <f t="shared" si="8"/>
        <v>-0.24192189559966779</v>
      </c>
      <c r="Q15" s="33"/>
      <c r="R15" s="26"/>
      <c r="S15" s="8"/>
      <c r="T15" s="8"/>
      <c r="U15" s="2"/>
      <c r="V15" s="2"/>
      <c r="W15" s="2"/>
      <c r="X15" s="2"/>
      <c r="Y15" s="2"/>
      <c r="Z15" s="2"/>
    </row>
    <row r="16" spans="1:26" ht="15.75" customHeight="1">
      <c r="A16" s="13"/>
      <c r="B16" s="27"/>
      <c r="C16" s="28"/>
      <c r="D16" s="25"/>
      <c r="E16" s="5"/>
      <c r="G16" s="28"/>
      <c r="H16" s="21"/>
      <c r="I16" s="13"/>
      <c r="J16" s="13"/>
      <c r="K16" s="13"/>
      <c r="L16" s="13"/>
      <c r="N16" s="29">
        <v>3</v>
      </c>
      <c r="O16" s="23"/>
      <c r="P16" s="52">
        <f t="shared" si="8"/>
        <v>-0.89100652418836779</v>
      </c>
      <c r="Q16" s="33"/>
      <c r="R16" s="26"/>
      <c r="S16" s="33"/>
      <c r="T16" s="33"/>
    </row>
    <row r="17" spans="1:25" ht="15.75" customHeight="1">
      <c r="A17" s="2" t="s">
        <v>5</v>
      </c>
      <c r="B17" s="8" t="s">
        <v>33</v>
      </c>
      <c r="C17" s="8" t="s">
        <v>34</v>
      </c>
      <c r="D17" s="8" t="s">
        <v>35</v>
      </c>
      <c r="E17" s="8" t="s">
        <v>36</v>
      </c>
      <c r="F17" s="8" t="s">
        <v>23</v>
      </c>
      <c r="G17" s="14" t="s">
        <v>37</v>
      </c>
      <c r="N17" s="3">
        <v>4</v>
      </c>
      <c r="P17" s="52">
        <f t="shared" si="8"/>
        <v>0.98480775301220802</v>
      </c>
      <c r="Q17" s="33"/>
      <c r="R17" s="33"/>
      <c r="S17" s="33"/>
      <c r="T17" s="33"/>
      <c r="V17" s="58" t="s">
        <v>93</v>
      </c>
      <c r="W17" s="58"/>
      <c r="X17" s="62">
        <f>C3</f>
        <v>43665</v>
      </c>
      <c r="Y17" s="63">
        <f>B3</f>
        <v>0.59722222222222221</v>
      </c>
    </row>
    <row r="18" spans="1:25" ht="15.75" customHeight="1">
      <c r="A18" s="55" t="s">
        <v>25</v>
      </c>
      <c r="B18" s="30">
        <v>5.9907407407407409E-2</v>
      </c>
      <c r="C18" s="30">
        <v>5.9907407407407409E-2</v>
      </c>
      <c r="D18" s="30">
        <f>C18-C18</f>
        <v>0</v>
      </c>
      <c r="E18" s="13">
        <v>18.606120000000001</v>
      </c>
      <c r="F18" s="32">
        <v>0.65712962962962962</v>
      </c>
      <c r="G18" s="33">
        <f>RANK(E18,E$18:E$22,0)</f>
        <v>1</v>
      </c>
      <c r="N18" s="3">
        <v>5</v>
      </c>
      <c r="P18" s="52">
        <f t="shared" si="8"/>
        <v>-0.73135370161917046</v>
      </c>
      <c r="Q18" s="34"/>
      <c r="R18" s="33"/>
      <c r="S18" s="33"/>
      <c r="T18" s="33"/>
      <c r="V18" s="58" t="s">
        <v>27</v>
      </c>
      <c r="W18" s="58" t="s">
        <v>96</v>
      </c>
      <c r="X18" s="62">
        <f>X$17</f>
        <v>43665</v>
      </c>
      <c r="Y18" s="63">
        <f>VLOOKUP(V18,A$18:F$22,6,0)</f>
        <v>0.65539351851851857</v>
      </c>
    </row>
    <row r="19" spans="1:25" ht="15.75" customHeight="1">
      <c r="A19" s="55" t="s">
        <v>24</v>
      </c>
      <c r="B19" s="30">
        <v>5.980324074074074E-2</v>
      </c>
      <c r="C19" s="30">
        <v>6.1203703703703705E-2</v>
      </c>
      <c r="D19" s="30">
        <f t="shared" ref="D19:D22" si="9">C19-C18</f>
        <v>1.2962962962962954E-3</v>
      </c>
      <c r="E19" s="13">
        <v>18.0779</v>
      </c>
      <c r="F19" s="32">
        <v>0.65702546296296294</v>
      </c>
      <c r="G19" s="33">
        <f>RANK(E19,E$18:E$22,0)</f>
        <v>2</v>
      </c>
      <c r="P19" s="34"/>
      <c r="Q19" s="34"/>
      <c r="R19" s="33"/>
      <c r="S19" s="33"/>
      <c r="T19" s="33"/>
      <c r="V19" s="58" t="s">
        <v>38</v>
      </c>
      <c r="W19" s="58" t="s">
        <v>98</v>
      </c>
      <c r="X19" s="62">
        <f t="shared" ref="X19:X22" si="10">X$17</f>
        <v>43665</v>
      </c>
      <c r="Y19" s="63">
        <f t="shared" ref="Y19:Y22" si="11">VLOOKUP(V19,A$18:F$22,6,0)</f>
        <v>0.67678240740740736</v>
      </c>
    </row>
    <row r="20" spans="1:25" ht="15.75" customHeight="1">
      <c r="A20" s="55" t="s">
        <v>26</v>
      </c>
      <c r="B20" s="30">
        <v>6.6863425925925923E-2</v>
      </c>
      <c r="C20" s="30">
        <v>6.4710648148148142E-2</v>
      </c>
      <c r="D20" s="30">
        <f t="shared" si="9"/>
        <v>3.5069444444444375E-3</v>
      </c>
      <c r="E20" s="13">
        <v>16.294419999999999</v>
      </c>
      <c r="F20" s="32">
        <v>0.66408564814814819</v>
      </c>
      <c r="G20" s="33">
        <f>RANK(E20,E$18:E$22,0)</f>
        <v>3</v>
      </c>
      <c r="P20" s="34"/>
      <c r="Q20" s="50"/>
      <c r="R20" s="33"/>
      <c r="S20" s="33"/>
      <c r="T20" s="33"/>
      <c r="V20" s="58" t="s">
        <v>24</v>
      </c>
      <c r="W20" s="58" t="s">
        <v>94</v>
      </c>
      <c r="X20" s="62">
        <f t="shared" si="10"/>
        <v>43665</v>
      </c>
      <c r="Y20" s="63">
        <f t="shared" si="11"/>
        <v>0.65702546296296294</v>
      </c>
    </row>
    <row r="21" spans="1:25" ht="15.75" customHeight="1">
      <c r="A21" s="55" t="s">
        <v>27</v>
      </c>
      <c r="B21" s="30">
        <v>5.8171296296296297E-2</v>
      </c>
      <c r="C21" s="30">
        <v>6.7222222222222225E-2</v>
      </c>
      <c r="D21" s="30">
        <f t="shared" si="9"/>
        <v>2.5115740740740827E-3</v>
      </c>
      <c r="E21" s="13">
        <v>15.28082</v>
      </c>
      <c r="F21" s="32">
        <v>0.65539351851851857</v>
      </c>
      <c r="G21" s="33">
        <f>RANK(E21,E$18:E$22,0)</f>
        <v>4</v>
      </c>
      <c r="I21" s="15"/>
      <c r="J21" s="56"/>
      <c r="K21" s="35"/>
      <c r="P21" s="51"/>
      <c r="Q21" s="33"/>
      <c r="R21" s="33"/>
      <c r="S21" s="33"/>
      <c r="T21" s="33"/>
      <c r="V21" s="58" t="s">
        <v>25</v>
      </c>
      <c r="W21" s="58" t="s">
        <v>95</v>
      </c>
      <c r="X21" s="62">
        <f t="shared" si="10"/>
        <v>43665</v>
      </c>
      <c r="Y21" s="63">
        <f t="shared" si="11"/>
        <v>0.65712962962962962</v>
      </c>
    </row>
    <row r="22" spans="1:25" ht="15.75" customHeight="1">
      <c r="A22" s="55" t="s">
        <v>38</v>
      </c>
      <c r="B22" s="30">
        <v>7.9560185185185192E-2</v>
      </c>
      <c r="C22" s="30">
        <v>7.1921296296296303E-2</v>
      </c>
      <c r="D22" s="30">
        <f t="shared" si="9"/>
        <v>4.6990740740740777E-3</v>
      </c>
      <c r="E22" s="36">
        <v>13.89913</v>
      </c>
      <c r="F22" s="32">
        <v>0.67678240740740736</v>
      </c>
      <c r="G22" s="33">
        <f>RANK(E22,E$18:E$22,0)</f>
        <v>5</v>
      </c>
      <c r="I22" s="15"/>
      <c r="J22" s="56"/>
      <c r="K22" s="35"/>
      <c r="P22" s="33"/>
      <c r="Q22" s="33"/>
      <c r="R22" s="33"/>
      <c r="S22" s="33"/>
      <c r="T22" s="33"/>
      <c r="V22" s="58" t="s">
        <v>26</v>
      </c>
      <c r="W22" s="58" t="s">
        <v>97</v>
      </c>
      <c r="X22" s="62">
        <f t="shared" si="10"/>
        <v>43665</v>
      </c>
      <c r="Y22" s="63">
        <f t="shared" si="11"/>
        <v>0.66408564814814819</v>
      </c>
    </row>
    <row r="23" spans="1:25" ht="15.75" customHeight="1">
      <c r="A23" s="15"/>
      <c r="B23" s="36"/>
      <c r="C23" s="36"/>
      <c r="D23" s="13"/>
      <c r="E23" s="36"/>
      <c r="F23" s="13"/>
      <c r="G23" s="36"/>
      <c r="I23" s="15"/>
      <c r="J23" s="56"/>
      <c r="K23" s="35"/>
      <c r="P23" s="33"/>
      <c r="Q23" s="33"/>
      <c r="R23" s="33"/>
      <c r="S23" s="33"/>
      <c r="T23" s="33"/>
    </row>
    <row r="24" spans="1:25" ht="15.75" customHeight="1">
      <c r="H24" s="32"/>
      <c r="I24" s="15"/>
      <c r="J24" s="15"/>
      <c r="K24" s="35"/>
      <c r="Q24" s="33"/>
      <c r="R24" s="33"/>
      <c r="S24" s="33"/>
      <c r="T24" s="33"/>
    </row>
    <row r="25" spans="1:25" ht="15.75" customHeight="1">
      <c r="I25" s="15"/>
      <c r="J25" s="13"/>
      <c r="P25" s="33"/>
      <c r="Q25" s="33"/>
      <c r="R25" s="33"/>
      <c r="S25" s="33"/>
      <c r="T25" s="33"/>
    </row>
    <row r="26" spans="1:25" ht="15.75" customHeight="1">
      <c r="H26" s="34"/>
      <c r="P26" s="33"/>
      <c r="Q26" s="33"/>
      <c r="R26" s="33"/>
      <c r="S26" s="33"/>
      <c r="T26" s="33"/>
    </row>
    <row r="27" spans="1:25" ht="15.75" customHeight="1">
      <c r="A27" s="15"/>
      <c r="B27" s="5"/>
      <c r="C27" s="5"/>
      <c r="D27" s="5"/>
      <c r="E27" s="5"/>
      <c r="F27" s="5"/>
      <c r="P27" s="33"/>
      <c r="Q27" s="33"/>
      <c r="R27" s="33"/>
      <c r="S27" s="33"/>
      <c r="T27" s="33"/>
    </row>
    <row r="28" spans="1:25" ht="15.75" customHeight="1">
      <c r="A28" s="15"/>
      <c r="B28" s="5"/>
      <c r="C28" s="5"/>
      <c r="D28" s="5"/>
      <c r="E28" s="5"/>
      <c r="F28" s="5"/>
      <c r="P28" s="33"/>
      <c r="Q28" s="33"/>
      <c r="R28" s="33"/>
      <c r="S28" s="33"/>
      <c r="T28" s="33"/>
    </row>
    <row r="29" spans="1:25" ht="15.75" customHeight="1">
      <c r="B29" s="5"/>
      <c r="C29" s="5"/>
      <c r="D29" s="5"/>
      <c r="E29" s="5"/>
      <c r="F29" s="5"/>
      <c r="P29" s="33"/>
      <c r="Q29" s="33"/>
      <c r="R29" s="33"/>
      <c r="S29" s="33"/>
      <c r="T29" s="33"/>
    </row>
    <row r="30" spans="1:25" ht="15.75" customHeight="1">
      <c r="B30" s="5"/>
      <c r="C30" s="5"/>
      <c r="D30" s="5"/>
      <c r="E30" s="5"/>
      <c r="F30" s="5"/>
      <c r="P30" s="33"/>
      <c r="Q30" s="33"/>
      <c r="R30" s="33"/>
      <c r="S30" s="33"/>
      <c r="T30" s="33"/>
    </row>
    <row r="31" spans="1:25" ht="15.75" customHeight="1">
      <c r="B31" s="5"/>
      <c r="C31" s="5"/>
      <c r="D31" s="5"/>
      <c r="E31" s="5"/>
      <c r="F31" s="5"/>
      <c r="P31" s="33"/>
      <c r="Q31" s="33"/>
      <c r="R31" s="33"/>
      <c r="S31" s="33"/>
      <c r="T31" s="33"/>
    </row>
    <row r="32" spans="1:25" ht="15.75" customHeight="1">
      <c r="B32" s="5"/>
      <c r="C32" s="5"/>
      <c r="D32" s="5"/>
      <c r="E32" s="5"/>
      <c r="F32" s="5"/>
      <c r="P32" s="33"/>
      <c r="Q32" s="33"/>
      <c r="R32" s="33"/>
      <c r="S32" s="33"/>
      <c r="T32" s="33"/>
    </row>
    <row r="33" spans="2:20" ht="15.75" customHeight="1">
      <c r="B33" s="5"/>
      <c r="C33" s="5"/>
      <c r="D33" s="5"/>
      <c r="E33" s="5"/>
      <c r="F33" s="5"/>
      <c r="P33" s="33"/>
      <c r="Q33" s="33"/>
      <c r="R33" s="33"/>
      <c r="S33" s="33"/>
      <c r="T33" s="33"/>
    </row>
    <row r="34" spans="2:20" ht="15.75" customHeight="1">
      <c r="B34" s="5"/>
      <c r="C34" s="5"/>
      <c r="D34" s="5"/>
      <c r="E34" s="5"/>
      <c r="F34" s="5"/>
      <c r="P34" s="33"/>
      <c r="Q34" s="33"/>
      <c r="R34" s="33"/>
      <c r="S34" s="33"/>
      <c r="T34" s="33"/>
    </row>
    <row r="35" spans="2:20" ht="15.75" customHeight="1">
      <c r="B35" s="5"/>
      <c r="C35" s="5"/>
      <c r="D35" s="5"/>
      <c r="E35" s="5"/>
      <c r="F35" s="5"/>
      <c r="P35" s="33"/>
      <c r="Q35" s="33"/>
      <c r="R35" s="33"/>
      <c r="S35" s="33"/>
      <c r="T35" s="33"/>
    </row>
    <row r="36" spans="2:20" ht="15.75" customHeight="1">
      <c r="B36" s="5"/>
      <c r="C36" s="5"/>
      <c r="D36" s="5"/>
      <c r="E36" s="5"/>
      <c r="F36" s="5"/>
      <c r="P36" s="33"/>
      <c r="Q36" s="33"/>
      <c r="R36" s="33"/>
      <c r="S36" s="33"/>
      <c r="T36" s="33"/>
    </row>
    <row r="37" spans="2:20" ht="15.75" customHeight="1">
      <c r="B37" s="5"/>
      <c r="C37" s="5"/>
      <c r="D37" s="5"/>
      <c r="E37" s="5"/>
      <c r="F37" s="5"/>
      <c r="P37" s="33"/>
      <c r="Q37" s="33"/>
      <c r="R37" s="33"/>
      <c r="S37" s="33"/>
      <c r="T37" s="33"/>
    </row>
    <row r="38" spans="2:20" ht="15.75" customHeight="1">
      <c r="B38" s="5"/>
      <c r="C38" s="5"/>
      <c r="D38" s="5"/>
      <c r="E38" s="5"/>
      <c r="F38" s="5"/>
      <c r="P38" s="33"/>
      <c r="Q38" s="33"/>
      <c r="R38" s="33"/>
      <c r="S38" s="33"/>
      <c r="T38" s="33"/>
    </row>
    <row r="39" spans="2:20" ht="15.75" customHeight="1">
      <c r="B39" s="5"/>
      <c r="C39" s="5"/>
      <c r="D39" s="5"/>
      <c r="E39" s="5"/>
      <c r="F39" s="5"/>
      <c r="P39" s="33"/>
      <c r="Q39" s="33"/>
      <c r="R39" s="33"/>
      <c r="S39" s="33"/>
      <c r="T39" s="33"/>
    </row>
    <row r="40" spans="2:20" ht="15.75" customHeight="1">
      <c r="B40" s="5"/>
      <c r="C40" s="5"/>
      <c r="D40" s="5"/>
      <c r="E40" s="5"/>
      <c r="F40" s="5"/>
      <c r="P40" s="33"/>
      <c r="Q40" s="33"/>
      <c r="R40" s="33"/>
      <c r="S40" s="33"/>
      <c r="T40" s="33"/>
    </row>
    <row r="41" spans="2:20" ht="15.75" customHeight="1">
      <c r="B41" s="5"/>
      <c r="C41" s="5"/>
      <c r="D41" s="5"/>
      <c r="E41" s="5"/>
      <c r="F41" s="5"/>
      <c r="P41" s="33"/>
      <c r="Q41" s="33"/>
      <c r="R41" s="33"/>
      <c r="S41" s="33"/>
      <c r="T41" s="33"/>
    </row>
    <row r="42" spans="2:20" ht="15.75" customHeight="1">
      <c r="B42" s="5"/>
      <c r="C42" s="5"/>
      <c r="D42" s="5"/>
      <c r="E42" s="5"/>
      <c r="F42" s="5"/>
      <c r="P42" s="33"/>
      <c r="Q42" s="33"/>
      <c r="R42" s="33"/>
      <c r="S42" s="33"/>
      <c r="T42" s="33"/>
    </row>
    <row r="43" spans="2:20" ht="15.75" customHeight="1">
      <c r="B43" s="5"/>
      <c r="C43" s="5"/>
      <c r="D43" s="5"/>
      <c r="E43" s="5"/>
      <c r="F43" s="5"/>
      <c r="P43" s="33"/>
      <c r="Q43" s="33"/>
      <c r="R43" s="33"/>
      <c r="S43" s="33"/>
      <c r="T43" s="33"/>
    </row>
    <row r="44" spans="2:20" ht="15.75" customHeight="1">
      <c r="B44" s="5"/>
      <c r="C44" s="5"/>
      <c r="D44" s="5"/>
      <c r="E44" s="5"/>
      <c r="F44" s="5"/>
      <c r="P44" s="33"/>
      <c r="Q44" s="33"/>
      <c r="R44" s="33"/>
      <c r="S44" s="33"/>
      <c r="T44" s="33"/>
    </row>
    <row r="45" spans="2:20" ht="15.75" customHeight="1">
      <c r="B45" s="5"/>
      <c r="C45" s="5"/>
      <c r="D45" s="5"/>
      <c r="E45" s="5"/>
      <c r="F45" s="5"/>
      <c r="P45" s="33"/>
      <c r="Q45" s="33"/>
      <c r="R45" s="33"/>
      <c r="S45" s="33"/>
      <c r="T45" s="33"/>
    </row>
    <row r="46" spans="2:20" ht="15.75" customHeight="1">
      <c r="B46" s="5"/>
      <c r="C46" s="5"/>
      <c r="D46" s="5"/>
      <c r="E46" s="5"/>
      <c r="F46" s="5"/>
      <c r="P46" s="33"/>
      <c r="Q46" s="33"/>
      <c r="R46" s="33"/>
      <c r="S46" s="33"/>
      <c r="T46" s="33"/>
    </row>
    <row r="47" spans="2:20" ht="15.75" customHeight="1">
      <c r="B47" s="5"/>
      <c r="C47" s="5"/>
      <c r="D47" s="5"/>
      <c r="E47" s="5"/>
      <c r="F47" s="5"/>
      <c r="P47" s="33"/>
      <c r="Q47" s="33"/>
      <c r="R47" s="33"/>
      <c r="S47" s="33"/>
      <c r="T47" s="33"/>
    </row>
    <row r="48" spans="2:20" ht="15.75" customHeight="1">
      <c r="B48" s="5"/>
      <c r="C48" s="5"/>
      <c r="D48" s="5"/>
      <c r="E48" s="5"/>
      <c r="F48" s="5"/>
      <c r="P48" s="33"/>
      <c r="Q48" s="33"/>
      <c r="R48" s="33"/>
      <c r="S48" s="33"/>
      <c r="T48" s="33"/>
    </row>
    <row r="49" spans="2:20" ht="15.75" customHeight="1">
      <c r="B49" s="5"/>
      <c r="C49" s="5"/>
      <c r="D49" s="5"/>
      <c r="E49" s="5"/>
      <c r="F49" s="5"/>
      <c r="P49" s="33"/>
      <c r="Q49" s="33"/>
      <c r="R49" s="33"/>
      <c r="S49" s="33"/>
      <c r="T49" s="33"/>
    </row>
    <row r="50" spans="2:20" ht="15.75" customHeight="1">
      <c r="B50" s="5"/>
      <c r="C50" s="5"/>
      <c r="D50" s="5"/>
      <c r="E50" s="5"/>
      <c r="F50" s="5"/>
      <c r="P50" s="33"/>
      <c r="Q50" s="33"/>
      <c r="R50" s="33"/>
      <c r="S50" s="33"/>
      <c r="T50" s="33"/>
    </row>
    <row r="51" spans="2:20" ht="15.75" customHeight="1">
      <c r="B51" s="5"/>
      <c r="C51" s="5"/>
      <c r="D51" s="5"/>
      <c r="E51" s="5"/>
      <c r="F51" s="5"/>
      <c r="P51" s="33"/>
      <c r="Q51" s="33"/>
      <c r="R51" s="33"/>
      <c r="S51" s="33"/>
      <c r="T51" s="33"/>
    </row>
    <row r="52" spans="2:20" ht="15.75" customHeight="1">
      <c r="B52" s="5"/>
      <c r="C52" s="5"/>
      <c r="D52" s="5"/>
      <c r="E52" s="5"/>
      <c r="F52" s="5"/>
      <c r="P52" s="33"/>
      <c r="Q52" s="33"/>
      <c r="R52" s="33"/>
      <c r="S52" s="33"/>
      <c r="T52" s="33"/>
    </row>
    <row r="53" spans="2:20" ht="15.75" customHeight="1">
      <c r="B53" s="5"/>
      <c r="C53" s="5"/>
      <c r="D53" s="5"/>
      <c r="E53" s="5"/>
      <c r="F53" s="5"/>
      <c r="P53" s="33"/>
      <c r="Q53" s="33"/>
      <c r="R53" s="33"/>
      <c r="S53" s="33"/>
      <c r="T53" s="33"/>
    </row>
    <row r="54" spans="2:20" ht="15.75" customHeight="1">
      <c r="B54" s="5"/>
      <c r="C54" s="5"/>
      <c r="D54" s="5"/>
      <c r="E54" s="5"/>
      <c r="F54" s="5"/>
      <c r="P54" s="33"/>
      <c r="Q54" s="33"/>
      <c r="R54" s="33"/>
      <c r="S54" s="33"/>
      <c r="T54" s="33"/>
    </row>
    <row r="55" spans="2:20" ht="15.75" customHeight="1">
      <c r="B55" s="5"/>
      <c r="C55" s="5"/>
      <c r="D55" s="5"/>
      <c r="E55" s="5"/>
      <c r="F55" s="5"/>
      <c r="P55" s="33"/>
      <c r="Q55" s="33"/>
      <c r="R55" s="33"/>
      <c r="S55" s="33"/>
      <c r="T55" s="33"/>
    </row>
    <row r="56" spans="2:20" ht="15.75" customHeight="1">
      <c r="B56" s="5"/>
      <c r="C56" s="5"/>
      <c r="D56" s="5"/>
      <c r="E56" s="5"/>
      <c r="F56" s="5"/>
      <c r="P56" s="33"/>
      <c r="Q56" s="33"/>
      <c r="R56" s="33"/>
      <c r="S56" s="33"/>
      <c r="T56" s="33"/>
    </row>
    <row r="57" spans="2:20" ht="15.75" customHeight="1">
      <c r="B57" s="5"/>
      <c r="C57" s="5"/>
      <c r="D57" s="5"/>
      <c r="E57" s="5"/>
      <c r="F57" s="5"/>
      <c r="P57" s="33"/>
      <c r="Q57" s="33"/>
      <c r="R57" s="33"/>
      <c r="S57" s="33"/>
      <c r="T57" s="33"/>
    </row>
    <row r="58" spans="2:20" ht="15.75" customHeight="1">
      <c r="B58" s="5"/>
      <c r="C58" s="5"/>
      <c r="D58" s="5"/>
      <c r="E58" s="5"/>
      <c r="F58" s="5"/>
      <c r="P58" s="33"/>
      <c r="Q58" s="33"/>
      <c r="R58" s="33"/>
      <c r="S58" s="33"/>
      <c r="T58" s="33"/>
    </row>
    <row r="59" spans="2:20" ht="15.75" customHeight="1">
      <c r="B59" s="5"/>
      <c r="C59" s="5"/>
      <c r="D59" s="5"/>
      <c r="E59" s="5"/>
      <c r="F59" s="5"/>
      <c r="P59" s="33"/>
      <c r="Q59" s="33"/>
      <c r="R59" s="33"/>
      <c r="S59" s="33"/>
      <c r="T59" s="33"/>
    </row>
    <row r="60" spans="2:20" ht="15.75" customHeight="1">
      <c r="B60" s="5"/>
      <c r="C60" s="5"/>
      <c r="D60" s="5"/>
      <c r="E60" s="5"/>
      <c r="F60" s="5"/>
      <c r="P60" s="33"/>
      <c r="Q60" s="33"/>
      <c r="R60" s="33"/>
      <c r="S60" s="33"/>
      <c r="T60" s="33"/>
    </row>
    <row r="61" spans="2:20" ht="15.75" customHeight="1">
      <c r="B61" s="5"/>
      <c r="C61" s="5"/>
      <c r="D61" s="5"/>
      <c r="E61" s="5"/>
      <c r="F61" s="5"/>
      <c r="P61" s="33"/>
      <c r="Q61" s="33"/>
      <c r="R61" s="33"/>
      <c r="S61" s="33"/>
      <c r="T61" s="33"/>
    </row>
    <row r="62" spans="2:20" ht="15.75" customHeight="1">
      <c r="B62" s="5"/>
      <c r="C62" s="5"/>
      <c r="D62" s="5"/>
      <c r="E62" s="5"/>
      <c r="F62" s="5"/>
      <c r="P62" s="33"/>
      <c r="Q62" s="33"/>
      <c r="R62" s="33"/>
      <c r="S62" s="33"/>
      <c r="T62" s="33"/>
    </row>
    <row r="63" spans="2:20" ht="15.75" customHeight="1">
      <c r="B63" s="5"/>
      <c r="C63" s="5"/>
      <c r="D63" s="5"/>
      <c r="E63" s="5"/>
      <c r="F63" s="5"/>
      <c r="P63" s="33"/>
      <c r="Q63" s="33"/>
      <c r="R63" s="33"/>
      <c r="S63" s="33"/>
      <c r="T63" s="33"/>
    </row>
    <row r="64" spans="2:20" ht="15.75" customHeight="1">
      <c r="B64" s="5"/>
      <c r="C64" s="5"/>
      <c r="D64" s="5"/>
      <c r="E64" s="5"/>
      <c r="F64" s="5"/>
      <c r="P64" s="33"/>
      <c r="Q64" s="33"/>
      <c r="R64" s="33"/>
      <c r="S64" s="33"/>
      <c r="T64" s="33"/>
    </row>
    <row r="65" spans="2:20" ht="15.75" customHeight="1">
      <c r="B65" s="5"/>
      <c r="C65" s="5"/>
      <c r="D65" s="5"/>
      <c r="E65" s="5"/>
      <c r="F65" s="5"/>
      <c r="P65" s="33"/>
      <c r="Q65" s="33"/>
      <c r="R65" s="33"/>
      <c r="S65" s="33"/>
      <c r="T65" s="33"/>
    </row>
    <row r="66" spans="2:20" ht="15.75" customHeight="1">
      <c r="B66" s="5"/>
      <c r="C66" s="5"/>
      <c r="D66" s="5"/>
      <c r="E66" s="5"/>
      <c r="F66" s="5"/>
      <c r="P66" s="33"/>
      <c r="Q66" s="33"/>
      <c r="R66" s="33"/>
      <c r="S66" s="33"/>
      <c r="T66" s="33"/>
    </row>
    <row r="67" spans="2:20" ht="15.75" customHeight="1">
      <c r="B67" s="5"/>
      <c r="C67" s="5"/>
      <c r="D67" s="5"/>
      <c r="E67" s="5"/>
      <c r="F67" s="5"/>
      <c r="P67" s="33"/>
      <c r="Q67" s="33"/>
      <c r="R67" s="33"/>
      <c r="S67" s="33"/>
      <c r="T67" s="33"/>
    </row>
    <row r="68" spans="2:20" ht="15.75" customHeight="1">
      <c r="B68" s="5"/>
      <c r="C68" s="5"/>
      <c r="D68" s="5"/>
      <c r="E68" s="5"/>
      <c r="F68" s="5"/>
      <c r="P68" s="33"/>
      <c r="Q68" s="33"/>
      <c r="R68" s="33"/>
      <c r="S68" s="33"/>
      <c r="T68" s="33"/>
    </row>
    <row r="69" spans="2:20" ht="15.75" customHeight="1">
      <c r="B69" s="5"/>
      <c r="C69" s="5"/>
      <c r="D69" s="5"/>
      <c r="E69" s="5"/>
      <c r="F69" s="5"/>
      <c r="P69" s="33"/>
      <c r="Q69" s="33"/>
      <c r="R69" s="33"/>
      <c r="S69" s="33"/>
      <c r="T69" s="33"/>
    </row>
    <row r="70" spans="2:20" ht="15.75" customHeight="1">
      <c r="B70" s="5"/>
      <c r="C70" s="5"/>
      <c r="D70" s="5"/>
      <c r="E70" s="5"/>
      <c r="F70" s="5"/>
      <c r="P70" s="33"/>
      <c r="Q70" s="33"/>
      <c r="R70" s="33"/>
      <c r="S70" s="33"/>
      <c r="T70" s="33"/>
    </row>
    <row r="71" spans="2:20" ht="15.75" customHeight="1">
      <c r="B71" s="5"/>
      <c r="C71" s="5"/>
      <c r="D71" s="5"/>
      <c r="E71" s="5"/>
      <c r="F71" s="5"/>
      <c r="P71" s="33"/>
      <c r="Q71" s="33"/>
      <c r="R71" s="33"/>
      <c r="S71" s="33"/>
      <c r="T71" s="33"/>
    </row>
    <row r="72" spans="2:20" ht="15.75" customHeight="1">
      <c r="B72" s="5"/>
      <c r="C72" s="5"/>
      <c r="D72" s="5"/>
      <c r="E72" s="5"/>
      <c r="F72" s="5"/>
      <c r="P72" s="33"/>
      <c r="Q72" s="33"/>
      <c r="R72" s="33"/>
      <c r="S72" s="33"/>
      <c r="T72" s="33"/>
    </row>
    <row r="73" spans="2:20" ht="15.75" customHeight="1">
      <c r="B73" s="5"/>
      <c r="C73" s="5"/>
      <c r="D73" s="5"/>
      <c r="E73" s="5"/>
      <c r="F73" s="5"/>
      <c r="P73" s="33"/>
      <c r="Q73" s="33"/>
      <c r="R73" s="33"/>
      <c r="S73" s="33"/>
      <c r="T73" s="33"/>
    </row>
    <row r="74" spans="2:20" ht="15.75" customHeight="1">
      <c r="B74" s="5"/>
      <c r="C74" s="5"/>
      <c r="D74" s="5"/>
      <c r="E74" s="5"/>
      <c r="F74" s="5"/>
      <c r="P74" s="33"/>
      <c r="Q74" s="33"/>
      <c r="R74" s="33"/>
      <c r="S74" s="33"/>
      <c r="T74" s="33"/>
    </row>
    <row r="75" spans="2:20" ht="15.75" customHeight="1">
      <c r="B75" s="5"/>
      <c r="C75" s="5"/>
      <c r="D75" s="5"/>
      <c r="E75" s="5"/>
      <c r="F75" s="5"/>
      <c r="P75" s="33"/>
      <c r="Q75" s="33"/>
      <c r="R75" s="33"/>
      <c r="S75" s="33"/>
      <c r="T75" s="33"/>
    </row>
    <row r="76" spans="2:20" ht="15.75" customHeight="1">
      <c r="B76" s="5"/>
      <c r="C76" s="5"/>
      <c r="D76" s="5"/>
      <c r="E76" s="5"/>
      <c r="F76" s="5"/>
      <c r="P76" s="33"/>
      <c r="Q76" s="33"/>
      <c r="R76" s="33"/>
      <c r="S76" s="33"/>
      <c r="T76" s="33"/>
    </row>
    <row r="77" spans="2:20" ht="15.75" customHeight="1">
      <c r="B77" s="5"/>
      <c r="C77" s="5"/>
      <c r="D77" s="5"/>
      <c r="E77" s="5"/>
      <c r="F77" s="5"/>
      <c r="P77" s="33"/>
      <c r="Q77" s="33"/>
      <c r="R77" s="33"/>
      <c r="S77" s="33"/>
      <c r="T77" s="33"/>
    </row>
    <row r="78" spans="2:20" ht="15.75" customHeight="1">
      <c r="B78" s="5"/>
      <c r="C78" s="5"/>
      <c r="D78" s="5"/>
      <c r="E78" s="5"/>
      <c r="F78" s="5"/>
      <c r="P78" s="33"/>
      <c r="Q78" s="33"/>
      <c r="R78" s="33"/>
      <c r="S78" s="33"/>
      <c r="T78" s="33"/>
    </row>
    <row r="79" spans="2:20" ht="15.75" customHeight="1">
      <c r="B79" s="5"/>
      <c r="C79" s="5"/>
      <c r="D79" s="5"/>
      <c r="E79" s="5"/>
      <c r="F79" s="5"/>
      <c r="P79" s="33"/>
      <c r="Q79" s="33"/>
      <c r="R79" s="33"/>
      <c r="S79" s="33"/>
      <c r="T79" s="33"/>
    </row>
    <row r="80" spans="2:20" ht="15.75" customHeight="1">
      <c r="B80" s="5"/>
      <c r="C80" s="5"/>
      <c r="D80" s="5"/>
      <c r="E80" s="5"/>
      <c r="F80" s="5"/>
      <c r="P80" s="33"/>
      <c r="Q80" s="33"/>
      <c r="R80" s="33"/>
      <c r="S80" s="33"/>
      <c r="T80" s="33"/>
    </row>
    <row r="81" spans="2:20" ht="15.75" customHeight="1">
      <c r="B81" s="5"/>
      <c r="C81" s="5"/>
      <c r="D81" s="5"/>
      <c r="E81" s="5"/>
      <c r="F81" s="5"/>
      <c r="P81" s="33"/>
      <c r="Q81" s="33"/>
      <c r="R81" s="33"/>
      <c r="S81" s="33"/>
      <c r="T81" s="33"/>
    </row>
    <row r="82" spans="2:20" ht="15.75" customHeight="1">
      <c r="B82" s="5"/>
      <c r="C82" s="5"/>
      <c r="D82" s="5"/>
      <c r="E82" s="5"/>
      <c r="F82" s="5"/>
      <c r="P82" s="33"/>
      <c r="Q82" s="33"/>
      <c r="R82" s="33"/>
      <c r="S82" s="33"/>
      <c r="T82" s="33"/>
    </row>
    <row r="83" spans="2:20" ht="15.75" customHeight="1">
      <c r="B83" s="5"/>
      <c r="C83" s="5"/>
      <c r="D83" s="5"/>
      <c r="E83" s="5"/>
      <c r="F83" s="5"/>
      <c r="P83" s="33"/>
      <c r="Q83" s="33"/>
      <c r="R83" s="33"/>
      <c r="S83" s="33"/>
      <c r="T83" s="33"/>
    </row>
    <row r="84" spans="2:20" ht="15.75" customHeight="1">
      <c r="B84" s="5"/>
      <c r="C84" s="5"/>
      <c r="D84" s="5"/>
      <c r="E84" s="5"/>
      <c r="F84" s="5"/>
      <c r="P84" s="33"/>
      <c r="Q84" s="33"/>
      <c r="R84" s="33"/>
      <c r="S84" s="33"/>
      <c r="T84" s="33"/>
    </row>
    <row r="85" spans="2:20" ht="15.75" customHeight="1">
      <c r="B85" s="5"/>
      <c r="C85" s="5"/>
      <c r="D85" s="5"/>
      <c r="E85" s="5"/>
      <c r="F85" s="5"/>
      <c r="P85" s="33"/>
      <c r="Q85" s="33"/>
      <c r="R85" s="33"/>
      <c r="S85" s="33"/>
      <c r="T85" s="33"/>
    </row>
    <row r="86" spans="2:20" ht="15.75" customHeight="1">
      <c r="B86" s="5"/>
      <c r="C86" s="5"/>
      <c r="D86" s="5"/>
      <c r="E86" s="5"/>
      <c r="F86" s="5"/>
      <c r="P86" s="33"/>
      <c r="Q86" s="33"/>
      <c r="R86" s="33"/>
      <c r="S86" s="33"/>
      <c r="T86" s="33"/>
    </row>
    <row r="87" spans="2:20" ht="15.75" customHeight="1">
      <c r="B87" s="5"/>
      <c r="C87" s="5"/>
      <c r="D87" s="5"/>
      <c r="E87" s="5"/>
      <c r="F87" s="5"/>
      <c r="P87" s="33"/>
      <c r="Q87" s="33"/>
      <c r="R87" s="33"/>
      <c r="S87" s="33"/>
      <c r="T87" s="33"/>
    </row>
    <row r="88" spans="2:20" ht="15.75" customHeight="1">
      <c r="B88" s="5"/>
      <c r="C88" s="5"/>
      <c r="D88" s="5"/>
      <c r="E88" s="5"/>
      <c r="F88" s="5"/>
      <c r="P88" s="33"/>
      <c r="Q88" s="33"/>
      <c r="R88" s="33"/>
      <c r="S88" s="33"/>
      <c r="T88" s="33"/>
    </row>
    <row r="89" spans="2:20" ht="15.75" customHeight="1">
      <c r="B89" s="5"/>
      <c r="C89" s="5"/>
      <c r="D89" s="5"/>
      <c r="E89" s="5"/>
      <c r="F89" s="5"/>
      <c r="P89" s="33"/>
      <c r="Q89" s="33"/>
      <c r="R89" s="33"/>
      <c r="S89" s="33"/>
      <c r="T89" s="33"/>
    </row>
    <row r="90" spans="2:20" ht="15.75" customHeight="1">
      <c r="B90" s="5"/>
      <c r="C90" s="5"/>
      <c r="D90" s="5"/>
      <c r="E90" s="5"/>
      <c r="F90" s="5"/>
      <c r="P90" s="33"/>
      <c r="Q90" s="33"/>
      <c r="R90" s="33"/>
      <c r="S90" s="33"/>
      <c r="T90" s="33"/>
    </row>
    <row r="91" spans="2:20" ht="15.75" customHeight="1">
      <c r="B91" s="5"/>
      <c r="C91" s="5"/>
      <c r="D91" s="5"/>
      <c r="E91" s="5"/>
      <c r="F91" s="5"/>
      <c r="P91" s="33"/>
      <c r="Q91" s="33"/>
      <c r="R91" s="33"/>
      <c r="S91" s="33"/>
      <c r="T91" s="33"/>
    </row>
    <row r="92" spans="2:20" ht="15.75" customHeight="1">
      <c r="B92" s="5"/>
      <c r="C92" s="5"/>
      <c r="D92" s="5"/>
      <c r="E92" s="5"/>
      <c r="F92" s="5"/>
      <c r="P92" s="33"/>
      <c r="Q92" s="33"/>
      <c r="R92" s="33"/>
      <c r="S92" s="33"/>
      <c r="T92" s="33"/>
    </row>
    <row r="93" spans="2:20" ht="15.75" customHeight="1">
      <c r="B93" s="5"/>
      <c r="C93" s="5"/>
      <c r="D93" s="5"/>
      <c r="E93" s="5"/>
      <c r="F93" s="5"/>
      <c r="P93" s="33"/>
      <c r="Q93" s="33"/>
      <c r="R93" s="33"/>
      <c r="S93" s="33"/>
      <c r="T93" s="33"/>
    </row>
    <row r="94" spans="2:20" ht="15.75" customHeight="1">
      <c r="B94" s="5"/>
      <c r="C94" s="5"/>
      <c r="D94" s="5"/>
      <c r="E94" s="5"/>
      <c r="F94" s="5"/>
      <c r="P94" s="33"/>
      <c r="Q94" s="33"/>
      <c r="R94" s="33"/>
      <c r="S94" s="33"/>
      <c r="T94" s="33"/>
    </row>
    <row r="95" spans="2:20" ht="15.75" customHeight="1">
      <c r="B95" s="5"/>
      <c r="C95" s="5"/>
      <c r="D95" s="5"/>
      <c r="E95" s="5"/>
      <c r="F95" s="5"/>
      <c r="P95" s="33"/>
      <c r="Q95" s="33"/>
      <c r="R95" s="33"/>
      <c r="S95" s="33"/>
      <c r="T95" s="33"/>
    </row>
    <row r="96" spans="2:20" ht="15.75" customHeight="1">
      <c r="B96" s="5"/>
      <c r="C96" s="5"/>
      <c r="D96" s="5"/>
      <c r="E96" s="5"/>
      <c r="F96" s="5"/>
      <c r="P96" s="33"/>
      <c r="Q96" s="33"/>
      <c r="R96" s="33"/>
      <c r="S96" s="33"/>
      <c r="T96" s="33"/>
    </row>
    <row r="97" spans="2:20" ht="15.75" customHeight="1">
      <c r="B97" s="5"/>
      <c r="C97" s="5"/>
      <c r="D97" s="5"/>
      <c r="E97" s="5"/>
      <c r="F97" s="5"/>
      <c r="P97" s="33"/>
      <c r="Q97" s="33"/>
      <c r="R97" s="33"/>
      <c r="S97" s="33"/>
      <c r="T97" s="33"/>
    </row>
    <row r="98" spans="2:20" ht="15.75" customHeight="1">
      <c r="B98" s="5"/>
      <c r="C98" s="5"/>
      <c r="D98" s="5"/>
      <c r="E98" s="5"/>
      <c r="F98" s="5"/>
      <c r="P98" s="33"/>
      <c r="Q98" s="33"/>
      <c r="R98" s="33"/>
      <c r="S98" s="33"/>
      <c r="T98" s="33"/>
    </row>
    <row r="99" spans="2:20" ht="15.75" customHeight="1">
      <c r="B99" s="5"/>
      <c r="C99" s="5"/>
      <c r="D99" s="5"/>
      <c r="E99" s="5"/>
      <c r="F99" s="5"/>
      <c r="P99" s="33"/>
      <c r="Q99" s="33"/>
      <c r="R99" s="33"/>
      <c r="S99" s="33"/>
      <c r="T99" s="33"/>
    </row>
    <row r="100" spans="2:20" ht="15.75" customHeight="1">
      <c r="B100" s="5"/>
      <c r="C100" s="5"/>
      <c r="D100" s="5"/>
      <c r="E100" s="5"/>
      <c r="F100" s="5"/>
      <c r="P100" s="33"/>
      <c r="Q100" s="33"/>
      <c r="R100" s="33"/>
      <c r="S100" s="33"/>
      <c r="T100" s="33"/>
    </row>
    <row r="101" spans="2:20" ht="15.75" customHeight="1">
      <c r="B101" s="5"/>
      <c r="C101" s="5"/>
      <c r="D101" s="5"/>
      <c r="E101" s="5"/>
      <c r="F101" s="5"/>
      <c r="P101" s="33"/>
      <c r="Q101" s="33"/>
      <c r="R101" s="33"/>
      <c r="S101" s="33"/>
      <c r="T101" s="33"/>
    </row>
    <row r="102" spans="2:20" ht="15.75" customHeight="1">
      <c r="B102" s="5"/>
      <c r="C102" s="5"/>
      <c r="D102" s="5"/>
      <c r="E102" s="5"/>
      <c r="F102" s="5"/>
      <c r="P102" s="33"/>
      <c r="Q102" s="33"/>
      <c r="R102" s="33"/>
      <c r="S102" s="33"/>
      <c r="T102" s="33"/>
    </row>
    <row r="103" spans="2:20" ht="15.75" customHeight="1">
      <c r="B103" s="5"/>
      <c r="C103" s="5"/>
      <c r="D103" s="5"/>
      <c r="E103" s="5"/>
      <c r="F103" s="5"/>
      <c r="P103" s="33"/>
      <c r="Q103" s="33"/>
      <c r="R103" s="33"/>
      <c r="S103" s="33"/>
      <c r="T103" s="33"/>
    </row>
    <row r="104" spans="2:20" ht="15.75" customHeight="1">
      <c r="B104" s="5"/>
      <c r="C104" s="5"/>
      <c r="D104" s="5"/>
      <c r="E104" s="5"/>
      <c r="F104" s="5"/>
      <c r="P104" s="33"/>
      <c r="Q104" s="33"/>
      <c r="R104" s="33"/>
      <c r="S104" s="33"/>
      <c r="T104" s="33"/>
    </row>
    <row r="105" spans="2:20" ht="15.75" customHeight="1">
      <c r="B105" s="5"/>
      <c r="C105" s="5"/>
      <c r="D105" s="5"/>
      <c r="E105" s="5"/>
      <c r="F105" s="5"/>
      <c r="P105" s="33"/>
      <c r="Q105" s="33"/>
      <c r="R105" s="33"/>
      <c r="S105" s="33"/>
      <c r="T105" s="33"/>
    </row>
    <row r="106" spans="2:20" ht="15.75" customHeight="1">
      <c r="B106" s="5"/>
      <c r="C106" s="5"/>
      <c r="D106" s="5"/>
      <c r="E106" s="5"/>
      <c r="F106" s="5"/>
      <c r="P106" s="33"/>
      <c r="Q106" s="33"/>
      <c r="R106" s="33"/>
      <c r="S106" s="33"/>
      <c r="T106" s="33"/>
    </row>
    <row r="107" spans="2:20" ht="15.75" customHeight="1">
      <c r="B107" s="5"/>
      <c r="C107" s="5"/>
      <c r="D107" s="5"/>
      <c r="E107" s="5"/>
      <c r="F107" s="5"/>
      <c r="P107" s="33"/>
      <c r="Q107" s="33"/>
      <c r="R107" s="33"/>
      <c r="S107" s="33"/>
      <c r="T107" s="33"/>
    </row>
    <row r="108" spans="2:20" ht="15.75" customHeight="1">
      <c r="B108" s="5"/>
      <c r="C108" s="5"/>
      <c r="D108" s="5"/>
      <c r="E108" s="5"/>
      <c r="F108" s="5"/>
      <c r="P108" s="33"/>
      <c r="Q108" s="33"/>
      <c r="R108" s="33"/>
      <c r="S108" s="33"/>
      <c r="T108" s="33"/>
    </row>
    <row r="109" spans="2:20" ht="15.75" customHeight="1">
      <c r="B109" s="5"/>
      <c r="C109" s="5"/>
      <c r="D109" s="5"/>
      <c r="E109" s="5"/>
      <c r="F109" s="5"/>
      <c r="P109" s="33"/>
      <c r="Q109" s="33"/>
      <c r="R109" s="33"/>
      <c r="S109" s="33"/>
      <c r="T109" s="33"/>
    </row>
    <row r="110" spans="2:20" ht="15.75" customHeight="1">
      <c r="B110" s="5"/>
      <c r="C110" s="5"/>
      <c r="D110" s="5"/>
      <c r="E110" s="5"/>
      <c r="F110" s="5"/>
      <c r="P110" s="33"/>
      <c r="Q110" s="33"/>
      <c r="R110" s="33"/>
      <c r="S110" s="33"/>
      <c r="T110" s="33"/>
    </row>
    <row r="111" spans="2:20" ht="15.75" customHeight="1">
      <c r="B111" s="5"/>
      <c r="C111" s="5"/>
      <c r="D111" s="5"/>
      <c r="E111" s="5"/>
      <c r="F111" s="5"/>
      <c r="P111" s="33"/>
      <c r="Q111" s="33"/>
      <c r="R111" s="33"/>
      <c r="S111" s="33"/>
      <c r="T111" s="33"/>
    </row>
    <row r="112" spans="2:20" ht="15.75" customHeight="1">
      <c r="B112" s="5"/>
      <c r="C112" s="5"/>
      <c r="D112" s="5"/>
      <c r="E112" s="5"/>
      <c r="F112" s="5"/>
      <c r="P112" s="33"/>
      <c r="Q112" s="33"/>
      <c r="R112" s="33"/>
      <c r="S112" s="33"/>
      <c r="T112" s="33"/>
    </row>
    <row r="113" spans="2:20" ht="15.75" customHeight="1">
      <c r="B113" s="5"/>
      <c r="C113" s="5"/>
      <c r="D113" s="5"/>
      <c r="E113" s="5"/>
      <c r="F113" s="5"/>
      <c r="P113" s="33"/>
      <c r="Q113" s="33"/>
      <c r="R113" s="33"/>
      <c r="S113" s="33"/>
      <c r="T113" s="33"/>
    </row>
    <row r="114" spans="2:20" ht="15.75" customHeight="1">
      <c r="B114" s="5"/>
      <c r="C114" s="5"/>
      <c r="D114" s="5"/>
      <c r="E114" s="5"/>
      <c r="F114" s="5"/>
      <c r="P114" s="33"/>
      <c r="Q114" s="33"/>
      <c r="R114" s="33"/>
      <c r="S114" s="33"/>
      <c r="T114" s="33"/>
    </row>
    <row r="115" spans="2:20" ht="15.75" customHeight="1">
      <c r="B115" s="5"/>
      <c r="C115" s="5"/>
      <c r="D115" s="5"/>
      <c r="E115" s="5"/>
      <c r="F115" s="5"/>
      <c r="P115" s="33"/>
      <c r="Q115" s="33"/>
      <c r="R115" s="33"/>
      <c r="S115" s="33"/>
      <c r="T115" s="33"/>
    </row>
    <row r="116" spans="2:20" ht="15.75" customHeight="1">
      <c r="B116" s="5"/>
      <c r="C116" s="5"/>
      <c r="D116" s="5"/>
      <c r="E116" s="5"/>
      <c r="F116" s="5"/>
      <c r="P116" s="33"/>
      <c r="Q116" s="33"/>
      <c r="R116" s="33"/>
      <c r="S116" s="33"/>
      <c r="T116" s="33"/>
    </row>
    <row r="117" spans="2:20" ht="15.75" customHeight="1">
      <c r="B117" s="5"/>
      <c r="C117" s="5"/>
      <c r="D117" s="5"/>
      <c r="E117" s="5"/>
      <c r="F117" s="5"/>
      <c r="P117" s="33"/>
      <c r="Q117" s="33"/>
      <c r="R117" s="33"/>
      <c r="S117" s="33"/>
      <c r="T117" s="33"/>
    </row>
    <row r="118" spans="2:20" ht="15.75" customHeight="1">
      <c r="B118" s="5"/>
      <c r="C118" s="5"/>
      <c r="D118" s="5"/>
      <c r="E118" s="5"/>
      <c r="F118" s="5"/>
      <c r="P118" s="33"/>
      <c r="Q118" s="33"/>
      <c r="R118" s="33"/>
      <c r="S118" s="33"/>
      <c r="T118" s="33"/>
    </row>
    <row r="119" spans="2:20" ht="15.75" customHeight="1">
      <c r="B119" s="5"/>
      <c r="C119" s="5"/>
      <c r="D119" s="5"/>
      <c r="E119" s="5"/>
      <c r="F119" s="5"/>
      <c r="P119" s="33"/>
      <c r="Q119" s="33"/>
      <c r="R119" s="33"/>
      <c r="S119" s="33"/>
      <c r="T119" s="33"/>
    </row>
    <row r="120" spans="2:20" ht="15.75" customHeight="1">
      <c r="B120" s="5"/>
      <c r="C120" s="5"/>
      <c r="D120" s="5"/>
      <c r="E120" s="5"/>
      <c r="F120" s="5"/>
      <c r="P120" s="33"/>
      <c r="Q120" s="33"/>
      <c r="R120" s="33"/>
      <c r="S120" s="33"/>
      <c r="T120" s="33"/>
    </row>
    <row r="121" spans="2:20" ht="15.75" customHeight="1">
      <c r="B121" s="5"/>
      <c r="C121" s="5"/>
      <c r="D121" s="5"/>
      <c r="E121" s="5"/>
      <c r="F121" s="5"/>
      <c r="P121" s="33"/>
      <c r="Q121" s="33"/>
      <c r="R121" s="33"/>
      <c r="S121" s="33"/>
      <c r="T121" s="33"/>
    </row>
    <row r="122" spans="2:20" ht="15.75" customHeight="1">
      <c r="B122" s="5"/>
      <c r="C122" s="5"/>
      <c r="D122" s="5"/>
      <c r="E122" s="5"/>
      <c r="F122" s="5"/>
      <c r="P122" s="33"/>
      <c r="Q122" s="33"/>
      <c r="R122" s="33"/>
      <c r="S122" s="33"/>
      <c r="T122" s="33"/>
    </row>
    <row r="123" spans="2:20" ht="15.75" customHeight="1">
      <c r="B123" s="5"/>
      <c r="C123" s="5"/>
      <c r="D123" s="5"/>
      <c r="E123" s="5"/>
      <c r="F123" s="5"/>
      <c r="P123" s="33"/>
      <c r="Q123" s="33"/>
      <c r="R123" s="33"/>
      <c r="S123" s="33"/>
      <c r="T123" s="33"/>
    </row>
    <row r="124" spans="2:20" ht="15.75" customHeight="1">
      <c r="B124" s="5"/>
      <c r="C124" s="5"/>
      <c r="D124" s="5"/>
      <c r="E124" s="5"/>
      <c r="F124" s="5"/>
      <c r="P124" s="33"/>
      <c r="Q124" s="33"/>
      <c r="R124" s="33"/>
      <c r="S124" s="33"/>
      <c r="T124" s="33"/>
    </row>
    <row r="125" spans="2:20" ht="15.75" customHeight="1">
      <c r="B125" s="5"/>
      <c r="C125" s="5"/>
      <c r="D125" s="5"/>
      <c r="E125" s="5"/>
      <c r="F125" s="5"/>
      <c r="P125" s="33"/>
      <c r="Q125" s="33"/>
      <c r="R125" s="33"/>
      <c r="S125" s="33"/>
      <c r="T125" s="33"/>
    </row>
    <row r="126" spans="2:20" ht="15.75" customHeight="1">
      <c r="B126" s="5"/>
      <c r="C126" s="5"/>
      <c r="D126" s="5"/>
      <c r="E126" s="5"/>
      <c r="F126" s="5"/>
      <c r="P126" s="33"/>
      <c r="Q126" s="33"/>
      <c r="R126" s="33"/>
      <c r="S126" s="33"/>
      <c r="T126" s="33"/>
    </row>
    <row r="127" spans="2:20" ht="15.75" customHeight="1">
      <c r="B127" s="5"/>
      <c r="C127" s="5"/>
      <c r="D127" s="5"/>
      <c r="E127" s="5"/>
      <c r="F127" s="5"/>
      <c r="P127" s="33"/>
      <c r="Q127" s="33"/>
      <c r="R127" s="33"/>
      <c r="S127" s="33"/>
      <c r="T127" s="33"/>
    </row>
    <row r="128" spans="2:20" ht="15.75" customHeight="1">
      <c r="B128" s="5"/>
      <c r="C128" s="5"/>
      <c r="D128" s="5"/>
      <c r="E128" s="5"/>
      <c r="F128" s="5"/>
      <c r="P128" s="33"/>
      <c r="Q128" s="33"/>
      <c r="R128" s="33"/>
      <c r="S128" s="33"/>
      <c r="T128" s="33"/>
    </row>
    <row r="129" spans="2:20" ht="15.75" customHeight="1">
      <c r="B129" s="5"/>
      <c r="C129" s="5"/>
      <c r="D129" s="5"/>
      <c r="E129" s="5"/>
      <c r="F129" s="5"/>
      <c r="P129" s="33"/>
      <c r="Q129" s="33"/>
      <c r="R129" s="33"/>
      <c r="S129" s="33"/>
      <c r="T129" s="33"/>
    </row>
    <row r="130" spans="2:20" ht="15.75" customHeight="1">
      <c r="B130" s="5"/>
      <c r="C130" s="5"/>
      <c r="D130" s="5"/>
      <c r="E130" s="5"/>
      <c r="F130" s="5"/>
      <c r="P130" s="33"/>
      <c r="Q130" s="33"/>
      <c r="R130" s="33"/>
      <c r="S130" s="33"/>
      <c r="T130" s="33"/>
    </row>
    <row r="131" spans="2:20" ht="15.75" customHeight="1">
      <c r="B131" s="5"/>
      <c r="C131" s="5"/>
      <c r="D131" s="5"/>
      <c r="E131" s="5"/>
      <c r="F131" s="5"/>
      <c r="P131" s="33"/>
      <c r="Q131" s="33"/>
      <c r="R131" s="33"/>
      <c r="S131" s="33"/>
      <c r="T131" s="33"/>
    </row>
    <row r="132" spans="2:20" ht="15.75" customHeight="1">
      <c r="B132" s="5"/>
      <c r="C132" s="5"/>
      <c r="D132" s="5"/>
      <c r="E132" s="5"/>
      <c r="F132" s="5"/>
      <c r="P132" s="33"/>
      <c r="Q132" s="33"/>
      <c r="R132" s="33"/>
      <c r="S132" s="33"/>
      <c r="T132" s="33"/>
    </row>
    <row r="133" spans="2:20" ht="15.75" customHeight="1">
      <c r="B133" s="5"/>
      <c r="C133" s="5"/>
      <c r="D133" s="5"/>
      <c r="E133" s="5"/>
      <c r="F133" s="5"/>
      <c r="P133" s="33"/>
      <c r="Q133" s="33"/>
      <c r="R133" s="33"/>
      <c r="S133" s="33"/>
      <c r="T133" s="33"/>
    </row>
    <row r="134" spans="2:20" ht="15.75" customHeight="1">
      <c r="B134" s="5"/>
      <c r="C134" s="5"/>
      <c r="D134" s="5"/>
      <c r="E134" s="5"/>
      <c r="F134" s="5"/>
      <c r="P134" s="33"/>
      <c r="Q134" s="33"/>
      <c r="R134" s="33"/>
      <c r="S134" s="33"/>
      <c r="T134" s="33"/>
    </row>
    <row r="135" spans="2:20" ht="15.75" customHeight="1">
      <c r="B135" s="5"/>
      <c r="C135" s="5"/>
      <c r="D135" s="5"/>
      <c r="E135" s="5"/>
      <c r="F135" s="5"/>
      <c r="P135" s="33"/>
      <c r="Q135" s="33"/>
      <c r="R135" s="33"/>
      <c r="S135" s="33"/>
      <c r="T135" s="33"/>
    </row>
    <row r="136" spans="2:20" ht="15.75" customHeight="1">
      <c r="B136" s="5"/>
      <c r="C136" s="5"/>
      <c r="D136" s="5"/>
      <c r="E136" s="5"/>
      <c r="F136" s="5"/>
      <c r="P136" s="33"/>
      <c r="Q136" s="33"/>
      <c r="R136" s="33"/>
      <c r="S136" s="33"/>
      <c r="T136" s="33"/>
    </row>
    <row r="137" spans="2:20" ht="15.75" customHeight="1">
      <c r="B137" s="5"/>
      <c r="C137" s="5"/>
      <c r="D137" s="5"/>
      <c r="E137" s="5"/>
      <c r="F137" s="5"/>
      <c r="P137" s="33"/>
      <c r="Q137" s="33"/>
      <c r="R137" s="33"/>
      <c r="S137" s="33"/>
      <c r="T137" s="33"/>
    </row>
    <row r="138" spans="2:20" ht="15.75" customHeight="1">
      <c r="B138" s="5"/>
      <c r="C138" s="5"/>
      <c r="D138" s="5"/>
      <c r="E138" s="5"/>
      <c r="F138" s="5"/>
      <c r="P138" s="33"/>
      <c r="Q138" s="33"/>
      <c r="R138" s="33"/>
      <c r="S138" s="33"/>
      <c r="T138" s="33"/>
    </row>
    <row r="139" spans="2:20" ht="15.75" customHeight="1">
      <c r="B139" s="5"/>
      <c r="C139" s="5"/>
      <c r="D139" s="5"/>
      <c r="E139" s="5"/>
      <c r="F139" s="5"/>
      <c r="P139" s="33"/>
      <c r="Q139" s="33"/>
      <c r="R139" s="33"/>
      <c r="S139" s="33"/>
      <c r="T139" s="33"/>
    </row>
    <row r="140" spans="2:20" ht="15.75" customHeight="1">
      <c r="B140" s="5"/>
      <c r="C140" s="5"/>
      <c r="D140" s="5"/>
      <c r="E140" s="5"/>
      <c r="F140" s="5"/>
      <c r="P140" s="33"/>
      <c r="Q140" s="33"/>
      <c r="R140" s="33"/>
      <c r="S140" s="33"/>
      <c r="T140" s="33"/>
    </row>
    <row r="141" spans="2:20" ht="15.75" customHeight="1">
      <c r="B141" s="5"/>
      <c r="C141" s="5"/>
      <c r="D141" s="5"/>
      <c r="E141" s="5"/>
      <c r="F141" s="5"/>
      <c r="P141" s="33"/>
      <c r="Q141" s="33"/>
      <c r="R141" s="33"/>
      <c r="S141" s="33"/>
      <c r="T141" s="33"/>
    </row>
    <row r="142" spans="2:20" ht="15.75" customHeight="1">
      <c r="B142" s="5"/>
      <c r="C142" s="5"/>
      <c r="D142" s="5"/>
      <c r="E142" s="5"/>
      <c r="F142" s="5"/>
      <c r="P142" s="33"/>
      <c r="Q142" s="33"/>
      <c r="R142" s="33"/>
      <c r="S142" s="33"/>
      <c r="T142" s="33"/>
    </row>
    <row r="143" spans="2:20" ht="15.75" customHeight="1">
      <c r="B143" s="5"/>
      <c r="C143" s="5"/>
      <c r="D143" s="5"/>
      <c r="E143" s="5"/>
      <c r="F143" s="5"/>
      <c r="P143" s="33"/>
      <c r="Q143" s="33"/>
      <c r="R143" s="33"/>
      <c r="S143" s="33"/>
      <c r="T143" s="33"/>
    </row>
    <row r="144" spans="2:20" ht="15.75" customHeight="1">
      <c r="B144" s="5"/>
      <c r="C144" s="5"/>
      <c r="D144" s="5"/>
      <c r="E144" s="5"/>
      <c r="F144" s="5"/>
      <c r="P144" s="33"/>
      <c r="Q144" s="33"/>
      <c r="R144" s="33"/>
      <c r="S144" s="33"/>
      <c r="T144" s="33"/>
    </row>
    <row r="145" spans="2:20" ht="15.75" customHeight="1">
      <c r="B145" s="5"/>
      <c r="C145" s="5"/>
      <c r="D145" s="5"/>
      <c r="E145" s="5"/>
      <c r="F145" s="5"/>
      <c r="P145" s="33"/>
      <c r="Q145" s="33"/>
      <c r="R145" s="33"/>
      <c r="S145" s="33"/>
      <c r="T145" s="33"/>
    </row>
    <row r="146" spans="2:20" ht="15.75" customHeight="1">
      <c r="B146" s="5"/>
      <c r="C146" s="5"/>
      <c r="D146" s="5"/>
      <c r="E146" s="5"/>
      <c r="F146" s="5"/>
      <c r="P146" s="33"/>
      <c r="Q146" s="33"/>
      <c r="R146" s="33"/>
      <c r="S146" s="33"/>
      <c r="T146" s="33"/>
    </row>
    <row r="147" spans="2:20" ht="15.75" customHeight="1">
      <c r="B147" s="5"/>
      <c r="C147" s="5"/>
      <c r="D147" s="5"/>
      <c r="E147" s="5"/>
      <c r="F147" s="5"/>
      <c r="P147" s="33"/>
      <c r="Q147" s="33"/>
      <c r="R147" s="33"/>
      <c r="S147" s="33"/>
      <c r="T147" s="33"/>
    </row>
    <row r="148" spans="2:20" ht="15.75" customHeight="1">
      <c r="B148" s="5"/>
      <c r="C148" s="5"/>
      <c r="D148" s="5"/>
      <c r="E148" s="5"/>
      <c r="F148" s="5"/>
      <c r="P148" s="33"/>
      <c r="Q148" s="33"/>
      <c r="R148" s="33"/>
      <c r="S148" s="33"/>
      <c r="T148" s="33"/>
    </row>
    <row r="149" spans="2:20" ht="15.75" customHeight="1">
      <c r="B149" s="5"/>
      <c r="C149" s="5"/>
      <c r="D149" s="5"/>
      <c r="E149" s="5"/>
      <c r="F149" s="5"/>
      <c r="P149" s="33"/>
      <c r="Q149" s="33"/>
      <c r="R149" s="33"/>
      <c r="S149" s="33"/>
      <c r="T149" s="33"/>
    </row>
    <row r="150" spans="2:20" ht="15.75" customHeight="1">
      <c r="B150" s="5"/>
      <c r="C150" s="5"/>
      <c r="D150" s="5"/>
      <c r="E150" s="5"/>
      <c r="F150" s="5"/>
      <c r="P150" s="33"/>
      <c r="Q150" s="33"/>
      <c r="R150" s="33"/>
      <c r="S150" s="33"/>
      <c r="T150" s="33"/>
    </row>
    <row r="151" spans="2:20" ht="15.75" customHeight="1">
      <c r="B151" s="5"/>
      <c r="C151" s="5"/>
      <c r="D151" s="5"/>
      <c r="E151" s="5"/>
      <c r="F151" s="5"/>
      <c r="P151" s="33"/>
      <c r="Q151" s="33"/>
      <c r="R151" s="33"/>
      <c r="S151" s="33"/>
      <c r="T151" s="33"/>
    </row>
    <row r="152" spans="2:20" ht="15.75" customHeight="1">
      <c r="B152" s="5"/>
      <c r="C152" s="5"/>
      <c r="D152" s="5"/>
      <c r="E152" s="5"/>
      <c r="F152" s="5"/>
      <c r="P152" s="33"/>
      <c r="Q152" s="33"/>
      <c r="R152" s="33"/>
      <c r="S152" s="33"/>
      <c r="T152" s="33"/>
    </row>
    <row r="153" spans="2:20" ht="15.75" customHeight="1">
      <c r="B153" s="5"/>
      <c r="C153" s="5"/>
      <c r="D153" s="5"/>
      <c r="E153" s="5"/>
      <c r="F153" s="5"/>
      <c r="P153" s="33"/>
      <c r="Q153" s="33"/>
      <c r="R153" s="33"/>
      <c r="S153" s="33"/>
      <c r="T153" s="33"/>
    </row>
    <row r="154" spans="2:20" ht="15.75" customHeight="1">
      <c r="B154" s="5"/>
      <c r="C154" s="5"/>
      <c r="D154" s="5"/>
      <c r="E154" s="5"/>
      <c r="F154" s="5"/>
      <c r="P154" s="33"/>
      <c r="Q154" s="33"/>
      <c r="R154" s="33"/>
      <c r="S154" s="33"/>
      <c r="T154" s="33"/>
    </row>
    <row r="155" spans="2:20" ht="15.75" customHeight="1">
      <c r="B155" s="5"/>
      <c r="C155" s="5"/>
      <c r="D155" s="5"/>
      <c r="E155" s="5"/>
      <c r="F155" s="5"/>
      <c r="P155" s="33"/>
      <c r="Q155" s="33"/>
      <c r="R155" s="33"/>
      <c r="S155" s="33"/>
      <c r="T155" s="33"/>
    </row>
    <row r="156" spans="2:20" ht="15.75" customHeight="1">
      <c r="B156" s="5"/>
      <c r="C156" s="5"/>
      <c r="D156" s="5"/>
      <c r="E156" s="5"/>
      <c r="F156" s="5"/>
      <c r="P156" s="33"/>
      <c r="Q156" s="33"/>
      <c r="R156" s="33"/>
      <c r="S156" s="33"/>
      <c r="T156" s="33"/>
    </row>
    <row r="157" spans="2:20" ht="15.75" customHeight="1">
      <c r="B157" s="5"/>
      <c r="C157" s="5"/>
      <c r="D157" s="5"/>
      <c r="E157" s="5"/>
      <c r="F157" s="5"/>
      <c r="P157" s="33"/>
      <c r="Q157" s="33"/>
      <c r="R157" s="33"/>
      <c r="S157" s="33"/>
      <c r="T157" s="33"/>
    </row>
    <row r="158" spans="2:20" ht="15.75" customHeight="1">
      <c r="B158" s="5"/>
      <c r="C158" s="5"/>
      <c r="D158" s="5"/>
      <c r="E158" s="5"/>
      <c r="F158" s="5"/>
      <c r="P158" s="33"/>
      <c r="Q158" s="33"/>
      <c r="R158" s="33"/>
      <c r="S158" s="33"/>
      <c r="T158" s="33"/>
    </row>
    <row r="159" spans="2:20" ht="15.75" customHeight="1">
      <c r="B159" s="5"/>
      <c r="C159" s="5"/>
      <c r="D159" s="5"/>
      <c r="E159" s="5"/>
      <c r="F159" s="5"/>
      <c r="P159" s="33"/>
      <c r="Q159" s="33"/>
      <c r="R159" s="33"/>
      <c r="S159" s="33"/>
      <c r="T159" s="33"/>
    </row>
    <row r="160" spans="2:20" ht="15.75" customHeight="1">
      <c r="B160" s="5"/>
      <c r="C160" s="5"/>
      <c r="D160" s="5"/>
      <c r="E160" s="5"/>
      <c r="F160" s="5"/>
      <c r="P160" s="33"/>
      <c r="Q160" s="33"/>
      <c r="R160" s="33"/>
      <c r="S160" s="33"/>
      <c r="T160" s="33"/>
    </row>
    <row r="161" spans="2:20" ht="15.75" customHeight="1">
      <c r="B161" s="5"/>
      <c r="C161" s="5"/>
      <c r="D161" s="5"/>
      <c r="E161" s="5"/>
      <c r="F161" s="5"/>
      <c r="P161" s="33"/>
      <c r="Q161" s="33"/>
      <c r="R161" s="33"/>
      <c r="S161" s="33"/>
      <c r="T161" s="33"/>
    </row>
    <row r="162" spans="2:20" ht="15.75" customHeight="1">
      <c r="B162" s="5"/>
      <c r="C162" s="5"/>
      <c r="D162" s="5"/>
      <c r="E162" s="5"/>
      <c r="F162" s="5"/>
      <c r="P162" s="33"/>
      <c r="Q162" s="33"/>
      <c r="R162" s="33"/>
      <c r="S162" s="33"/>
      <c r="T162" s="33"/>
    </row>
    <row r="163" spans="2:20" ht="15.75" customHeight="1">
      <c r="B163" s="5"/>
      <c r="C163" s="5"/>
      <c r="D163" s="5"/>
      <c r="E163" s="5"/>
      <c r="F163" s="5"/>
      <c r="P163" s="33"/>
      <c r="Q163" s="33"/>
      <c r="R163" s="33"/>
      <c r="S163" s="33"/>
      <c r="T163" s="33"/>
    </row>
    <row r="164" spans="2:20" ht="15.75" customHeight="1">
      <c r="B164" s="5"/>
      <c r="C164" s="5"/>
      <c r="D164" s="5"/>
      <c r="E164" s="5"/>
      <c r="F164" s="5"/>
      <c r="P164" s="33"/>
      <c r="Q164" s="33"/>
      <c r="R164" s="33"/>
      <c r="S164" s="33"/>
      <c r="T164" s="33"/>
    </row>
    <row r="165" spans="2:20" ht="15.75" customHeight="1">
      <c r="B165" s="5"/>
      <c r="C165" s="5"/>
      <c r="D165" s="5"/>
      <c r="E165" s="5"/>
      <c r="F165" s="5"/>
      <c r="P165" s="33"/>
      <c r="Q165" s="33"/>
      <c r="R165" s="33"/>
      <c r="S165" s="33"/>
      <c r="T165" s="33"/>
    </row>
    <row r="166" spans="2:20" ht="15.75" customHeight="1">
      <c r="B166" s="5"/>
      <c r="C166" s="5"/>
      <c r="D166" s="5"/>
      <c r="E166" s="5"/>
      <c r="F166" s="5"/>
      <c r="P166" s="33"/>
      <c r="Q166" s="33"/>
      <c r="R166" s="33"/>
      <c r="S166" s="33"/>
      <c r="T166" s="33"/>
    </row>
    <row r="167" spans="2:20" ht="15.75" customHeight="1">
      <c r="B167" s="5"/>
      <c r="C167" s="5"/>
      <c r="D167" s="5"/>
      <c r="E167" s="5"/>
      <c r="F167" s="5"/>
      <c r="P167" s="33"/>
      <c r="Q167" s="33"/>
      <c r="R167" s="33"/>
      <c r="S167" s="33"/>
      <c r="T167" s="33"/>
    </row>
    <row r="168" spans="2:20" ht="15.75" customHeight="1">
      <c r="B168" s="5"/>
      <c r="C168" s="5"/>
      <c r="D168" s="5"/>
      <c r="E168" s="5"/>
      <c r="F168" s="5"/>
      <c r="P168" s="33"/>
      <c r="Q168" s="33"/>
      <c r="R168" s="33"/>
      <c r="S168" s="33"/>
      <c r="T168" s="33"/>
    </row>
    <row r="169" spans="2:20" ht="15.75" customHeight="1">
      <c r="B169" s="5"/>
      <c r="C169" s="5"/>
      <c r="D169" s="5"/>
      <c r="E169" s="5"/>
      <c r="F169" s="5"/>
      <c r="P169" s="33"/>
      <c r="Q169" s="33"/>
      <c r="R169" s="33"/>
      <c r="S169" s="33"/>
      <c r="T169" s="33"/>
    </row>
    <row r="170" spans="2:20" ht="15.75" customHeight="1">
      <c r="B170" s="5"/>
      <c r="C170" s="5"/>
      <c r="D170" s="5"/>
      <c r="E170" s="5"/>
      <c r="F170" s="5"/>
      <c r="P170" s="33"/>
      <c r="Q170" s="33"/>
      <c r="R170" s="33"/>
      <c r="S170" s="33"/>
      <c r="T170" s="33"/>
    </row>
    <row r="171" spans="2:20" ht="15.75" customHeight="1">
      <c r="B171" s="5"/>
      <c r="C171" s="5"/>
      <c r="D171" s="5"/>
      <c r="E171" s="5"/>
      <c r="F171" s="5"/>
      <c r="P171" s="33"/>
      <c r="Q171" s="33"/>
      <c r="R171" s="33"/>
      <c r="S171" s="33"/>
      <c r="T171" s="33"/>
    </row>
    <row r="172" spans="2:20" ht="15.75" customHeight="1">
      <c r="B172" s="5"/>
      <c r="C172" s="5"/>
      <c r="D172" s="5"/>
      <c r="E172" s="5"/>
      <c r="F172" s="5"/>
      <c r="P172" s="33"/>
      <c r="Q172" s="33"/>
      <c r="R172" s="33"/>
      <c r="S172" s="33"/>
      <c r="T172" s="33"/>
    </row>
    <row r="173" spans="2:20" ht="15.75" customHeight="1">
      <c r="B173" s="5"/>
      <c r="C173" s="5"/>
      <c r="D173" s="5"/>
      <c r="E173" s="5"/>
      <c r="F173" s="5"/>
      <c r="P173" s="33"/>
      <c r="Q173" s="33"/>
      <c r="R173" s="33"/>
      <c r="S173" s="33"/>
      <c r="T173" s="33"/>
    </row>
    <row r="174" spans="2:20" ht="15.75" customHeight="1">
      <c r="B174" s="5"/>
      <c r="C174" s="5"/>
      <c r="D174" s="5"/>
      <c r="E174" s="5"/>
      <c r="F174" s="5"/>
      <c r="P174" s="33"/>
      <c r="Q174" s="33"/>
      <c r="R174" s="33"/>
      <c r="S174" s="33"/>
      <c r="T174" s="33"/>
    </row>
    <row r="175" spans="2:20" ht="15.75" customHeight="1">
      <c r="B175" s="5"/>
      <c r="C175" s="5"/>
      <c r="D175" s="5"/>
      <c r="E175" s="5"/>
      <c r="F175" s="5"/>
      <c r="P175" s="33"/>
      <c r="Q175" s="33"/>
      <c r="R175" s="33"/>
      <c r="S175" s="33"/>
      <c r="T175" s="33"/>
    </row>
    <row r="176" spans="2:20" ht="15.75" customHeight="1">
      <c r="B176" s="5"/>
      <c r="C176" s="5"/>
      <c r="D176" s="5"/>
      <c r="E176" s="5"/>
      <c r="F176" s="5"/>
      <c r="P176" s="33"/>
      <c r="Q176" s="33"/>
      <c r="R176" s="33"/>
      <c r="S176" s="33"/>
      <c r="T176" s="33"/>
    </row>
    <row r="177" spans="2:20" ht="15.75" customHeight="1">
      <c r="B177" s="5"/>
      <c r="C177" s="5"/>
      <c r="D177" s="5"/>
      <c r="E177" s="5"/>
      <c r="F177" s="5"/>
      <c r="P177" s="33"/>
      <c r="Q177" s="33"/>
      <c r="R177" s="33"/>
      <c r="S177" s="33"/>
      <c r="T177" s="33"/>
    </row>
    <row r="178" spans="2:20" ht="15.75" customHeight="1">
      <c r="B178" s="5"/>
      <c r="C178" s="5"/>
      <c r="D178" s="5"/>
      <c r="E178" s="5"/>
      <c r="F178" s="5"/>
      <c r="P178" s="33"/>
      <c r="Q178" s="33"/>
      <c r="R178" s="33"/>
      <c r="S178" s="33"/>
      <c r="T178" s="33"/>
    </row>
    <row r="179" spans="2:20" ht="15.75" customHeight="1">
      <c r="B179" s="5"/>
      <c r="C179" s="5"/>
      <c r="D179" s="5"/>
      <c r="E179" s="5"/>
      <c r="F179" s="5"/>
      <c r="P179" s="33"/>
      <c r="Q179" s="33"/>
      <c r="R179" s="33"/>
      <c r="S179" s="33"/>
      <c r="T179" s="33"/>
    </row>
    <row r="180" spans="2:20" ht="15.75" customHeight="1">
      <c r="B180" s="5"/>
      <c r="C180" s="5"/>
      <c r="D180" s="5"/>
      <c r="E180" s="5"/>
      <c r="F180" s="5"/>
      <c r="P180" s="33"/>
      <c r="Q180" s="33"/>
      <c r="R180" s="33"/>
      <c r="S180" s="33"/>
      <c r="T180" s="33"/>
    </row>
    <row r="181" spans="2:20" ht="15.75" customHeight="1">
      <c r="B181" s="5"/>
      <c r="C181" s="5"/>
      <c r="D181" s="5"/>
      <c r="E181" s="5"/>
      <c r="F181" s="5"/>
      <c r="P181" s="33"/>
      <c r="Q181" s="33"/>
      <c r="R181" s="33"/>
      <c r="S181" s="33"/>
      <c r="T181" s="33"/>
    </row>
    <row r="182" spans="2:20" ht="15.75" customHeight="1">
      <c r="B182" s="5"/>
      <c r="C182" s="5"/>
      <c r="D182" s="5"/>
      <c r="E182" s="5"/>
      <c r="F182" s="5"/>
      <c r="P182" s="33"/>
      <c r="Q182" s="33"/>
      <c r="R182" s="33"/>
      <c r="S182" s="33"/>
      <c r="T182" s="33"/>
    </row>
    <row r="183" spans="2:20" ht="15.75" customHeight="1">
      <c r="B183" s="5"/>
      <c r="C183" s="5"/>
      <c r="D183" s="5"/>
      <c r="E183" s="5"/>
      <c r="F183" s="5"/>
      <c r="P183" s="33"/>
      <c r="Q183" s="33"/>
      <c r="R183" s="33"/>
      <c r="S183" s="33"/>
      <c r="T183" s="33"/>
    </row>
    <row r="184" spans="2:20" ht="15.75" customHeight="1">
      <c r="B184" s="5"/>
      <c r="C184" s="5"/>
      <c r="D184" s="5"/>
      <c r="E184" s="5"/>
      <c r="F184" s="5"/>
      <c r="P184" s="33"/>
      <c r="Q184" s="33"/>
      <c r="R184" s="33"/>
      <c r="S184" s="33"/>
      <c r="T184" s="33"/>
    </row>
    <row r="185" spans="2:20" ht="15.75" customHeight="1">
      <c r="B185" s="5"/>
      <c r="C185" s="5"/>
      <c r="D185" s="5"/>
      <c r="E185" s="5"/>
      <c r="F185" s="5"/>
      <c r="P185" s="33"/>
      <c r="Q185" s="33"/>
      <c r="R185" s="33"/>
      <c r="S185" s="33"/>
      <c r="T185" s="33"/>
    </row>
    <row r="186" spans="2:20" ht="15.75" customHeight="1">
      <c r="B186" s="5"/>
      <c r="C186" s="5"/>
      <c r="D186" s="5"/>
      <c r="E186" s="5"/>
      <c r="F186" s="5"/>
      <c r="P186" s="33"/>
      <c r="Q186" s="33"/>
      <c r="R186" s="33"/>
      <c r="S186" s="33"/>
      <c r="T186" s="33"/>
    </row>
    <row r="187" spans="2:20" ht="15.75" customHeight="1">
      <c r="B187" s="5"/>
      <c r="C187" s="5"/>
      <c r="D187" s="5"/>
      <c r="E187" s="5"/>
      <c r="F187" s="5"/>
      <c r="P187" s="33"/>
      <c r="Q187" s="33"/>
      <c r="R187" s="33"/>
      <c r="S187" s="33"/>
      <c r="T187" s="33"/>
    </row>
    <row r="188" spans="2:20" ht="15.75" customHeight="1">
      <c r="B188" s="5"/>
      <c r="C188" s="5"/>
      <c r="D188" s="5"/>
      <c r="E188" s="5"/>
      <c r="F188" s="5"/>
      <c r="P188" s="33"/>
      <c r="Q188" s="33"/>
      <c r="R188" s="33"/>
      <c r="S188" s="33"/>
      <c r="T188" s="33"/>
    </row>
    <row r="189" spans="2:20" ht="15.75" customHeight="1">
      <c r="B189" s="5"/>
      <c r="C189" s="5"/>
      <c r="D189" s="5"/>
      <c r="E189" s="5"/>
      <c r="F189" s="5"/>
      <c r="P189" s="33"/>
      <c r="Q189" s="33"/>
      <c r="R189" s="33"/>
      <c r="S189" s="33"/>
      <c r="T189" s="33"/>
    </row>
    <row r="190" spans="2:20" ht="15.75" customHeight="1">
      <c r="B190" s="5"/>
      <c r="C190" s="5"/>
      <c r="D190" s="5"/>
      <c r="E190" s="5"/>
      <c r="F190" s="5"/>
      <c r="P190" s="33"/>
      <c r="Q190" s="33"/>
      <c r="R190" s="33"/>
      <c r="S190" s="33"/>
      <c r="T190" s="33"/>
    </row>
    <row r="191" spans="2:20" ht="15.75" customHeight="1">
      <c r="B191" s="5"/>
      <c r="C191" s="5"/>
      <c r="D191" s="5"/>
      <c r="E191" s="5"/>
      <c r="F191" s="5"/>
      <c r="P191" s="33"/>
      <c r="Q191" s="33"/>
      <c r="R191" s="33"/>
      <c r="S191" s="33"/>
      <c r="T191" s="33"/>
    </row>
    <row r="192" spans="2:20" ht="15.75" customHeight="1">
      <c r="B192" s="5"/>
      <c r="C192" s="5"/>
      <c r="D192" s="5"/>
      <c r="E192" s="5"/>
      <c r="F192" s="5"/>
      <c r="P192" s="33"/>
      <c r="Q192" s="33"/>
      <c r="R192" s="33"/>
      <c r="S192" s="33"/>
      <c r="T192" s="33"/>
    </row>
    <row r="193" spans="2:20" ht="15.75" customHeight="1">
      <c r="B193" s="5"/>
      <c r="C193" s="5"/>
      <c r="D193" s="5"/>
      <c r="E193" s="5"/>
      <c r="F193" s="5"/>
      <c r="P193" s="33"/>
      <c r="Q193" s="33"/>
      <c r="R193" s="33"/>
      <c r="S193" s="33"/>
      <c r="T193" s="33"/>
    </row>
    <row r="194" spans="2:20" ht="15.75" customHeight="1">
      <c r="B194" s="5"/>
      <c r="C194" s="5"/>
      <c r="D194" s="5"/>
      <c r="E194" s="5"/>
      <c r="F194" s="5"/>
      <c r="P194" s="33"/>
      <c r="Q194" s="33"/>
      <c r="R194" s="33"/>
      <c r="S194" s="33"/>
      <c r="T194" s="33"/>
    </row>
    <row r="195" spans="2:20" ht="15.75" customHeight="1">
      <c r="B195" s="5"/>
      <c r="C195" s="5"/>
      <c r="D195" s="5"/>
      <c r="E195" s="5"/>
      <c r="F195" s="5"/>
      <c r="P195" s="33"/>
      <c r="Q195" s="33"/>
      <c r="R195" s="33"/>
      <c r="S195" s="33"/>
      <c r="T195" s="33"/>
    </row>
    <row r="196" spans="2:20" ht="15.75" customHeight="1">
      <c r="B196" s="5"/>
      <c r="C196" s="5"/>
      <c r="D196" s="5"/>
      <c r="E196" s="5"/>
      <c r="F196" s="5"/>
      <c r="P196" s="33"/>
      <c r="Q196" s="33"/>
      <c r="R196" s="33"/>
      <c r="S196" s="33"/>
      <c r="T196" s="33"/>
    </row>
    <row r="197" spans="2:20" ht="15.75" customHeight="1">
      <c r="B197" s="5"/>
      <c r="C197" s="5"/>
      <c r="D197" s="5"/>
      <c r="E197" s="5"/>
      <c r="F197" s="5"/>
      <c r="P197" s="33"/>
      <c r="Q197" s="33"/>
      <c r="R197" s="33"/>
      <c r="S197" s="33"/>
      <c r="T197" s="33"/>
    </row>
    <row r="198" spans="2:20" ht="15.75" customHeight="1">
      <c r="B198" s="5"/>
      <c r="C198" s="5"/>
      <c r="D198" s="5"/>
      <c r="E198" s="5"/>
      <c r="F198" s="5"/>
      <c r="P198" s="33"/>
      <c r="Q198" s="33"/>
      <c r="R198" s="33"/>
      <c r="S198" s="33"/>
      <c r="T198" s="33"/>
    </row>
    <row r="199" spans="2:20" ht="15.75" customHeight="1">
      <c r="B199" s="5"/>
      <c r="C199" s="5"/>
      <c r="D199" s="5"/>
      <c r="E199" s="5"/>
      <c r="F199" s="5"/>
      <c r="P199" s="33"/>
      <c r="Q199" s="33"/>
      <c r="R199" s="33"/>
      <c r="S199" s="33"/>
      <c r="T199" s="33"/>
    </row>
    <row r="200" spans="2:20" ht="15.75" customHeight="1">
      <c r="B200" s="5"/>
      <c r="C200" s="5"/>
      <c r="D200" s="5"/>
      <c r="E200" s="5"/>
      <c r="F200" s="5"/>
      <c r="P200" s="33"/>
      <c r="Q200" s="33"/>
      <c r="R200" s="33"/>
      <c r="S200" s="33"/>
      <c r="T200" s="33"/>
    </row>
    <row r="201" spans="2:20" ht="15.75" customHeight="1">
      <c r="B201" s="5"/>
      <c r="C201" s="5"/>
      <c r="D201" s="5"/>
      <c r="E201" s="5"/>
      <c r="F201" s="5"/>
      <c r="P201" s="33"/>
      <c r="Q201" s="33"/>
      <c r="R201" s="33"/>
      <c r="S201" s="33"/>
      <c r="T201" s="33"/>
    </row>
    <row r="202" spans="2:20" ht="15.75" customHeight="1">
      <c r="B202" s="5"/>
      <c r="C202" s="5"/>
      <c r="D202" s="5"/>
      <c r="E202" s="5"/>
      <c r="F202" s="5"/>
      <c r="P202" s="33"/>
      <c r="Q202" s="33"/>
      <c r="R202" s="33"/>
      <c r="S202" s="33"/>
      <c r="T202" s="33"/>
    </row>
    <row r="203" spans="2:20" ht="15.75" customHeight="1">
      <c r="B203" s="5"/>
      <c r="C203" s="5"/>
      <c r="D203" s="5"/>
      <c r="E203" s="5"/>
      <c r="F203" s="5"/>
      <c r="P203" s="33"/>
      <c r="Q203" s="33"/>
      <c r="R203" s="33"/>
      <c r="S203" s="33"/>
      <c r="T203" s="33"/>
    </row>
    <row r="204" spans="2:20" ht="15.75" customHeight="1">
      <c r="B204" s="5"/>
      <c r="C204" s="5"/>
      <c r="D204" s="5"/>
      <c r="E204" s="5"/>
      <c r="F204" s="5"/>
      <c r="P204" s="33"/>
      <c r="Q204" s="33"/>
      <c r="R204" s="33"/>
      <c r="S204" s="33"/>
      <c r="T204" s="33"/>
    </row>
    <row r="205" spans="2:20" ht="15.75" customHeight="1">
      <c r="B205" s="5"/>
      <c r="C205" s="5"/>
      <c r="D205" s="5"/>
      <c r="E205" s="5"/>
      <c r="F205" s="5"/>
      <c r="P205" s="33"/>
      <c r="Q205" s="33"/>
      <c r="R205" s="33"/>
      <c r="S205" s="33"/>
      <c r="T205" s="33"/>
    </row>
    <row r="206" spans="2:20" ht="15.75" customHeight="1">
      <c r="B206" s="5"/>
      <c r="C206" s="5"/>
      <c r="D206" s="5"/>
      <c r="E206" s="5"/>
      <c r="F206" s="5"/>
      <c r="P206" s="33"/>
      <c r="Q206" s="33"/>
      <c r="R206" s="33"/>
      <c r="S206" s="33"/>
      <c r="T206" s="33"/>
    </row>
    <row r="207" spans="2:20" ht="15.75" customHeight="1">
      <c r="B207" s="5"/>
      <c r="C207" s="5"/>
      <c r="D207" s="5"/>
      <c r="E207" s="5"/>
      <c r="F207" s="5"/>
      <c r="P207" s="33"/>
      <c r="Q207" s="33"/>
      <c r="R207" s="33"/>
      <c r="S207" s="33"/>
      <c r="T207" s="33"/>
    </row>
    <row r="208" spans="2:20" ht="15.75" customHeight="1">
      <c r="B208" s="5"/>
      <c r="C208" s="5"/>
      <c r="D208" s="5"/>
      <c r="E208" s="5"/>
      <c r="F208" s="5"/>
      <c r="P208" s="33"/>
      <c r="Q208" s="33"/>
      <c r="R208" s="33"/>
      <c r="S208" s="33"/>
      <c r="T208" s="33"/>
    </row>
    <row r="209" spans="2:20" ht="15.75" customHeight="1">
      <c r="B209" s="5"/>
      <c r="C209" s="5"/>
      <c r="D209" s="5"/>
      <c r="E209" s="5"/>
      <c r="F209" s="5"/>
      <c r="P209" s="33"/>
      <c r="Q209" s="33"/>
      <c r="R209" s="33"/>
      <c r="S209" s="33"/>
      <c r="T209" s="33"/>
    </row>
    <row r="210" spans="2:20" ht="15.75" customHeight="1">
      <c r="B210" s="5"/>
      <c r="C210" s="5"/>
      <c r="D210" s="5"/>
      <c r="E210" s="5"/>
      <c r="F210" s="5"/>
      <c r="P210" s="33"/>
      <c r="Q210" s="33"/>
      <c r="R210" s="33"/>
      <c r="S210" s="33"/>
      <c r="T210" s="33"/>
    </row>
    <row r="211" spans="2:20" ht="15.75" customHeight="1">
      <c r="B211" s="5"/>
      <c r="C211" s="5"/>
      <c r="D211" s="5"/>
      <c r="E211" s="5"/>
      <c r="F211" s="5"/>
      <c r="P211" s="33"/>
      <c r="Q211" s="33"/>
      <c r="R211" s="33"/>
      <c r="S211" s="33"/>
      <c r="T211" s="33"/>
    </row>
    <row r="212" spans="2:20" ht="15.75" customHeight="1">
      <c r="B212" s="5"/>
      <c r="C212" s="5"/>
      <c r="D212" s="5"/>
      <c r="E212" s="5"/>
      <c r="F212" s="5"/>
      <c r="P212" s="33"/>
      <c r="Q212" s="33"/>
      <c r="R212" s="33"/>
      <c r="S212" s="33"/>
      <c r="T212" s="33"/>
    </row>
    <row r="213" spans="2:20" ht="15.75" customHeight="1">
      <c r="B213" s="5"/>
      <c r="C213" s="5"/>
      <c r="D213" s="5"/>
      <c r="E213" s="5"/>
      <c r="F213" s="5"/>
      <c r="P213" s="33"/>
      <c r="Q213" s="33"/>
      <c r="R213" s="33"/>
      <c r="S213" s="33"/>
      <c r="T213" s="33"/>
    </row>
    <row r="214" spans="2:20" ht="15.75" customHeight="1">
      <c r="B214" s="5"/>
      <c r="C214" s="5"/>
      <c r="D214" s="5"/>
      <c r="E214" s="5"/>
      <c r="F214" s="5"/>
      <c r="P214" s="33"/>
      <c r="Q214" s="33"/>
      <c r="R214" s="33"/>
      <c r="S214" s="33"/>
      <c r="T214" s="33"/>
    </row>
    <row r="215" spans="2:20" ht="15.75" customHeight="1">
      <c r="B215" s="5"/>
      <c r="C215" s="5"/>
      <c r="D215" s="5"/>
      <c r="E215" s="5"/>
      <c r="F215" s="5"/>
      <c r="P215" s="33"/>
      <c r="Q215" s="33"/>
      <c r="R215" s="33"/>
      <c r="S215" s="33"/>
      <c r="T215" s="33"/>
    </row>
    <row r="216" spans="2:20" ht="15.75" customHeight="1">
      <c r="B216" s="5"/>
      <c r="C216" s="5"/>
      <c r="D216" s="5"/>
      <c r="E216" s="5"/>
      <c r="F216" s="5"/>
      <c r="P216" s="33"/>
      <c r="Q216" s="33"/>
      <c r="R216" s="33"/>
      <c r="S216" s="33"/>
      <c r="T216" s="33"/>
    </row>
    <row r="217" spans="2:20" ht="15.75" customHeight="1">
      <c r="B217" s="5"/>
      <c r="C217" s="5"/>
      <c r="D217" s="5"/>
      <c r="E217" s="5"/>
      <c r="F217" s="5"/>
      <c r="P217" s="33"/>
      <c r="Q217" s="33"/>
      <c r="R217" s="33"/>
      <c r="S217" s="33"/>
      <c r="T217" s="33"/>
    </row>
    <row r="218" spans="2:20" ht="15.75" customHeight="1">
      <c r="B218" s="5"/>
      <c r="C218" s="5"/>
      <c r="D218" s="5"/>
      <c r="E218" s="5"/>
      <c r="F218" s="5"/>
      <c r="P218" s="33"/>
      <c r="Q218" s="33"/>
      <c r="R218" s="33"/>
      <c r="S218" s="33"/>
      <c r="T218" s="33"/>
    </row>
    <row r="219" spans="2:20" ht="15.75" customHeight="1">
      <c r="B219" s="5"/>
      <c r="C219" s="5"/>
      <c r="D219" s="5"/>
      <c r="E219" s="5"/>
      <c r="F219" s="5"/>
      <c r="P219" s="33"/>
      <c r="Q219" s="33"/>
      <c r="R219" s="33"/>
      <c r="S219" s="33"/>
      <c r="T219" s="33"/>
    </row>
    <row r="220" spans="2:20" ht="15.75" customHeight="1">
      <c r="B220" s="5"/>
      <c r="C220" s="5"/>
      <c r="D220" s="5"/>
      <c r="E220" s="5"/>
      <c r="F220" s="5"/>
      <c r="P220" s="33"/>
      <c r="Q220" s="33"/>
      <c r="R220" s="33"/>
      <c r="S220" s="33"/>
      <c r="T220" s="33"/>
    </row>
    <row r="221" spans="2:20" ht="15.75" customHeight="1">
      <c r="B221" s="5"/>
      <c r="C221" s="5"/>
      <c r="D221" s="5"/>
      <c r="E221" s="5"/>
      <c r="F221" s="5"/>
      <c r="P221" s="33"/>
      <c r="Q221" s="33"/>
      <c r="R221" s="33"/>
      <c r="S221" s="33"/>
      <c r="T221" s="33"/>
    </row>
    <row r="222" spans="2:20" ht="15.75" customHeight="1">
      <c r="B222" s="5"/>
      <c r="C222" s="5"/>
      <c r="D222" s="5"/>
      <c r="E222" s="5"/>
      <c r="F222" s="5"/>
      <c r="P222" s="33"/>
      <c r="Q222" s="33"/>
      <c r="R222" s="33"/>
      <c r="S222" s="33"/>
      <c r="T222" s="33"/>
    </row>
    <row r="223" spans="2:20" ht="15.75" customHeight="1">
      <c r="B223" s="5"/>
      <c r="C223" s="5"/>
      <c r="D223" s="5"/>
      <c r="E223" s="5"/>
      <c r="F223" s="5"/>
      <c r="P223" s="33"/>
      <c r="Q223" s="33"/>
      <c r="R223" s="33"/>
      <c r="S223" s="33"/>
      <c r="T223" s="33"/>
    </row>
    <row r="224" spans="2:20" ht="15.75" customHeight="1">
      <c r="B224" s="5"/>
      <c r="C224" s="5"/>
      <c r="D224" s="5"/>
      <c r="E224" s="5"/>
      <c r="F224" s="5"/>
      <c r="P224" s="33"/>
      <c r="Q224" s="33"/>
      <c r="R224" s="33"/>
      <c r="S224" s="33"/>
      <c r="T224" s="33"/>
    </row>
    <row r="225" spans="2:20" ht="15.75" customHeight="1">
      <c r="B225" s="5"/>
      <c r="C225" s="5"/>
      <c r="D225" s="5"/>
      <c r="E225" s="5"/>
      <c r="F225" s="5"/>
      <c r="P225" s="33"/>
      <c r="Q225" s="33"/>
      <c r="R225" s="33"/>
      <c r="S225" s="33"/>
      <c r="T225" s="33"/>
    </row>
    <row r="226" spans="2:20" ht="15.75" customHeight="1">
      <c r="B226" s="5"/>
      <c r="C226" s="5"/>
      <c r="D226" s="5"/>
      <c r="E226" s="5"/>
      <c r="F226" s="5"/>
      <c r="P226" s="33"/>
      <c r="Q226" s="33"/>
      <c r="R226" s="33"/>
      <c r="S226" s="33"/>
      <c r="T226" s="33"/>
    </row>
    <row r="227" spans="2:20" ht="15.75" customHeight="1">
      <c r="B227" s="5"/>
      <c r="C227" s="5"/>
      <c r="D227" s="5"/>
      <c r="E227" s="5"/>
      <c r="F227" s="5"/>
      <c r="P227" s="33"/>
      <c r="Q227" s="33"/>
      <c r="R227" s="33"/>
      <c r="S227" s="33"/>
      <c r="T227" s="33"/>
    </row>
    <row r="228" spans="2:20" ht="15.75" customHeight="1">
      <c r="B228" s="5"/>
      <c r="C228" s="5"/>
      <c r="D228" s="5"/>
      <c r="E228" s="5"/>
      <c r="F228" s="5"/>
      <c r="P228" s="33"/>
      <c r="Q228" s="33"/>
      <c r="R228" s="33"/>
      <c r="S228" s="33"/>
      <c r="T228" s="33"/>
    </row>
    <row r="229" spans="2:20" ht="15.75" customHeight="1">
      <c r="B229" s="5"/>
      <c r="C229" s="5"/>
      <c r="D229" s="5"/>
      <c r="E229" s="5"/>
      <c r="F229" s="5"/>
      <c r="P229" s="33"/>
      <c r="Q229" s="33"/>
      <c r="R229" s="33"/>
      <c r="S229" s="33"/>
      <c r="T229" s="33"/>
    </row>
    <row r="230" spans="2:20" ht="15.75" customHeight="1">
      <c r="B230" s="5"/>
      <c r="C230" s="5"/>
      <c r="D230" s="5"/>
      <c r="E230" s="5"/>
      <c r="F230" s="5"/>
      <c r="P230" s="33"/>
      <c r="Q230" s="33"/>
      <c r="R230" s="33"/>
      <c r="S230" s="33"/>
      <c r="T230" s="33"/>
    </row>
    <row r="231" spans="2:20" ht="15.75" customHeight="1">
      <c r="B231" s="5"/>
      <c r="C231" s="5"/>
      <c r="D231" s="5"/>
      <c r="E231" s="5"/>
      <c r="F231" s="5"/>
      <c r="P231" s="33"/>
      <c r="Q231" s="33"/>
      <c r="R231" s="33"/>
      <c r="S231" s="33"/>
      <c r="T231" s="33"/>
    </row>
    <row r="232" spans="2:20" ht="15.75" customHeight="1">
      <c r="B232" s="5"/>
      <c r="C232" s="5"/>
      <c r="D232" s="5"/>
      <c r="E232" s="5"/>
      <c r="F232" s="5"/>
      <c r="P232" s="33"/>
      <c r="Q232" s="33"/>
      <c r="R232" s="33"/>
      <c r="S232" s="33"/>
      <c r="T232" s="33"/>
    </row>
    <row r="233" spans="2:20" ht="15.75" customHeight="1">
      <c r="B233" s="5"/>
      <c r="C233" s="5"/>
      <c r="D233" s="5"/>
      <c r="E233" s="5"/>
      <c r="F233" s="5"/>
      <c r="P233" s="33"/>
      <c r="Q233" s="33"/>
      <c r="R233" s="33"/>
      <c r="S233" s="33"/>
      <c r="T233" s="33"/>
    </row>
    <row r="234" spans="2:20" ht="15.75" customHeight="1">
      <c r="B234" s="5"/>
      <c r="C234" s="5"/>
      <c r="D234" s="5"/>
      <c r="E234" s="5"/>
      <c r="F234" s="5"/>
      <c r="P234" s="33"/>
      <c r="Q234" s="33"/>
      <c r="R234" s="33"/>
      <c r="S234" s="33"/>
      <c r="T234" s="33"/>
    </row>
    <row r="235" spans="2:20" ht="15.75" customHeight="1">
      <c r="B235" s="5"/>
      <c r="C235" s="5"/>
      <c r="D235" s="5"/>
      <c r="E235" s="5"/>
      <c r="F235" s="5"/>
      <c r="P235" s="33"/>
      <c r="Q235" s="33"/>
      <c r="R235" s="33"/>
      <c r="S235" s="33"/>
      <c r="T235" s="33"/>
    </row>
    <row r="236" spans="2:20" ht="15.75" customHeight="1">
      <c r="B236" s="5"/>
      <c r="C236" s="5"/>
      <c r="D236" s="5"/>
      <c r="E236" s="5"/>
      <c r="F236" s="5"/>
      <c r="P236" s="33"/>
      <c r="Q236" s="33"/>
      <c r="R236" s="33"/>
      <c r="S236" s="33"/>
      <c r="T236" s="33"/>
    </row>
    <row r="237" spans="2:20" ht="15.75" customHeight="1">
      <c r="B237" s="5"/>
      <c r="C237" s="5"/>
      <c r="D237" s="5"/>
      <c r="E237" s="5"/>
      <c r="F237" s="5"/>
      <c r="P237" s="33"/>
      <c r="Q237" s="33"/>
      <c r="R237" s="33"/>
      <c r="S237" s="33"/>
      <c r="T237" s="33"/>
    </row>
    <row r="238" spans="2:20" ht="15.75" customHeight="1">
      <c r="B238" s="5"/>
      <c r="C238" s="5"/>
      <c r="D238" s="5"/>
      <c r="E238" s="5"/>
      <c r="F238" s="5"/>
      <c r="P238" s="33"/>
      <c r="Q238" s="33"/>
      <c r="R238" s="33"/>
      <c r="S238" s="33"/>
      <c r="T238" s="33"/>
    </row>
    <row r="239" spans="2:20" ht="15.75" customHeight="1">
      <c r="B239" s="5"/>
      <c r="C239" s="5"/>
      <c r="D239" s="5"/>
      <c r="E239" s="5"/>
      <c r="F239" s="5"/>
      <c r="P239" s="33"/>
      <c r="Q239" s="33"/>
      <c r="R239" s="33"/>
      <c r="S239" s="33"/>
      <c r="T239" s="33"/>
    </row>
    <row r="240" spans="2:20" ht="15.75" customHeight="1">
      <c r="B240" s="5"/>
      <c r="C240" s="5"/>
      <c r="D240" s="5"/>
      <c r="E240" s="5"/>
      <c r="F240" s="5"/>
      <c r="P240" s="33"/>
      <c r="Q240" s="33"/>
      <c r="R240" s="33"/>
      <c r="S240" s="33"/>
      <c r="T240" s="33"/>
    </row>
    <row r="241" spans="2:20" ht="15.75" customHeight="1">
      <c r="B241" s="5"/>
      <c r="C241" s="5"/>
      <c r="D241" s="5"/>
      <c r="E241" s="5"/>
      <c r="F241" s="5"/>
      <c r="P241" s="33"/>
      <c r="Q241" s="33"/>
      <c r="R241" s="33"/>
      <c r="S241" s="33"/>
      <c r="T241" s="33"/>
    </row>
    <row r="242" spans="2:20" ht="15.75" customHeight="1">
      <c r="B242" s="5"/>
      <c r="C242" s="5"/>
      <c r="D242" s="5"/>
      <c r="E242" s="5"/>
      <c r="F242" s="5"/>
      <c r="P242" s="33"/>
      <c r="Q242" s="33"/>
      <c r="R242" s="33"/>
      <c r="S242" s="33"/>
      <c r="T242" s="33"/>
    </row>
    <row r="243" spans="2:20" ht="15.75" customHeight="1">
      <c r="B243" s="5"/>
      <c r="C243" s="5"/>
      <c r="D243" s="5"/>
      <c r="E243" s="5"/>
      <c r="F243" s="5"/>
      <c r="P243" s="33"/>
      <c r="Q243" s="33"/>
      <c r="R243" s="33"/>
      <c r="S243" s="33"/>
      <c r="T243" s="33"/>
    </row>
    <row r="244" spans="2:20" ht="15.75" customHeight="1">
      <c r="B244" s="5"/>
      <c r="C244" s="5"/>
      <c r="D244" s="5"/>
      <c r="E244" s="5"/>
      <c r="F244" s="5"/>
      <c r="P244" s="33"/>
      <c r="Q244" s="33"/>
      <c r="R244" s="33"/>
      <c r="S244" s="33"/>
      <c r="T244" s="33"/>
    </row>
    <row r="245" spans="2:20" ht="15.75" customHeight="1">
      <c r="B245" s="5"/>
      <c r="C245" s="5"/>
      <c r="D245" s="5"/>
      <c r="E245" s="5"/>
      <c r="F245" s="5"/>
      <c r="P245" s="33"/>
      <c r="Q245" s="33"/>
      <c r="R245" s="33"/>
      <c r="S245" s="33"/>
      <c r="T245" s="33"/>
    </row>
    <row r="246" spans="2:20" ht="15.75" customHeight="1">
      <c r="B246" s="5"/>
      <c r="C246" s="5"/>
      <c r="D246" s="5"/>
      <c r="E246" s="5"/>
      <c r="F246" s="5"/>
      <c r="P246" s="33"/>
      <c r="Q246" s="33"/>
      <c r="R246" s="33"/>
      <c r="S246" s="33"/>
      <c r="T246" s="33"/>
    </row>
    <row r="247" spans="2:20" ht="15.75" customHeight="1">
      <c r="B247" s="5"/>
      <c r="C247" s="5"/>
      <c r="D247" s="5"/>
      <c r="E247" s="5"/>
      <c r="F247" s="5"/>
      <c r="P247" s="33"/>
      <c r="Q247" s="33"/>
      <c r="R247" s="33"/>
      <c r="S247" s="33"/>
      <c r="T247" s="33"/>
    </row>
    <row r="248" spans="2:20" ht="15.75" customHeight="1">
      <c r="B248" s="5"/>
      <c r="C248" s="5"/>
      <c r="D248" s="5"/>
      <c r="E248" s="5"/>
      <c r="F248" s="5"/>
      <c r="P248" s="33"/>
      <c r="Q248" s="33"/>
      <c r="R248" s="33"/>
      <c r="S248" s="33"/>
      <c r="T248" s="33"/>
    </row>
    <row r="249" spans="2:20" ht="15.75" customHeight="1">
      <c r="B249" s="5"/>
      <c r="C249" s="5"/>
      <c r="D249" s="5"/>
      <c r="E249" s="5"/>
      <c r="F249" s="5"/>
      <c r="P249" s="33"/>
      <c r="Q249" s="33"/>
      <c r="R249" s="33"/>
      <c r="S249" s="33"/>
      <c r="T249" s="33"/>
    </row>
    <row r="250" spans="2:20" ht="15.75" customHeight="1">
      <c r="B250" s="5"/>
      <c r="C250" s="5"/>
      <c r="D250" s="5"/>
      <c r="E250" s="5"/>
      <c r="F250" s="5"/>
      <c r="P250" s="33"/>
      <c r="Q250" s="33"/>
      <c r="R250" s="33"/>
      <c r="S250" s="33"/>
      <c r="T250" s="33"/>
    </row>
    <row r="251" spans="2:20" ht="15.75" customHeight="1">
      <c r="B251" s="5"/>
      <c r="C251" s="5"/>
      <c r="D251" s="5"/>
      <c r="E251" s="5"/>
      <c r="F251" s="5"/>
      <c r="P251" s="33"/>
      <c r="Q251" s="33"/>
      <c r="R251" s="33"/>
      <c r="S251" s="33"/>
      <c r="T251" s="33"/>
    </row>
    <row r="252" spans="2:20" ht="15.75" customHeight="1">
      <c r="B252" s="5"/>
      <c r="C252" s="5"/>
      <c r="D252" s="5"/>
      <c r="E252" s="5"/>
      <c r="F252" s="5"/>
      <c r="P252" s="33"/>
      <c r="Q252" s="33"/>
      <c r="R252" s="33"/>
      <c r="S252" s="33"/>
      <c r="T252" s="33"/>
    </row>
    <row r="253" spans="2:20" ht="15.75" customHeight="1">
      <c r="B253" s="5"/>
      <c r="C253" s="5"/>
      <c r="D253" s="5"/>
      <c r="E253" s="5"/>
      <c r="F253" s="5"/>
      <c r="P253" s="33"/>
      <c r="Q253" s="33"/>
      <c r="R253" s="33"/>
      <c r="S253" s="33"/>
      <c r="T253" s="33"/>
    </row>
    <row r="254" spans="2:20" ht="15.75" customHeight="1">
      <c r="B254" s="5"/>
      <c r="C254" s="5"/>
      <c r="D254" s="5"/>
      <c r="E254" s="5"/>
      <c r="F254" s="5"/>
      <c r="P254" s="33"/>
      <c r="Q254" s="33"/>
      <c r="R254" s="33"/>
      <c r="S254" s="33"/>
      <c r="T254" s="33"/>
    </row>
    <row r="255" spans="2:20" ht="15.75" customHeight="1">
      <c r="B255" s="5"/>
      <c r="C255" s="5"/>
      <c r="D255" s="5"/>
      <c r="E255" s="5"/>
      <c r="F255" s="5"/>
      <c r="P255" s="33"/>
      <c r="Q255" s="33"/>
      <c r="R255" s="33"/>
      <c r="S255" s="33"/>
      <c r="T255" s="33"/>
    </row>
    <row r="256" spans="2:20" ht="15.75" customHeight="1">
      <c r="B256" s="5"/>
      <c r="C256" s="5"/>
      <c r="D256" s="5"/>
      <c r="E256" s="5"/>
      <c r="F256" s="5"/>
      <c r="P256" s="33"/>
      <c r="Q256" s="33"/>
      <c r="R256" s="33"/>
      <c r="S256" s="33"/>
      <c r="T256" s="33"/>
    </row>
    <row r="257" spans="2:20" ht="15.75" customHeight="1">
      <c r="B257" s="5"/>
      <c r="C257" s="5"/>
      <c r="D257" s="5"/>
      <c r="E257" s="5"/>
      <c r="F257" s="5"/>
      <c r="P257" s="33"/>
      <c r="Q257" s="33"/>
      <c r="R257" s="33"/>
      <c r="S257" s="33"/>
      <c r="T257" s="33"/>
    </row>
    <row r="258" spans="2:20" ht="15.75" customHeight="1">
      <c r="B258" s="5"/>
      <c r="C258" s="5"/>
      <c r="D258" s="5"/>
      <c r="E258" s="5"/>
      <c r="F258" s="5"/>
      <c r="P258" s="33"/>
      <c r="Q258" s="33"/>
      <c r="R258" s="33"/>
      <c r="S258" s="33"/>
      <c r="T258" s="33"/>
    </row>
    <row r="259" spans="2:20" ht="15.75" customHeight="1">
      <c r="B259" s="5"/>
      <c r="C259" s="5"/>
      <c r="D259" s="5"/>
      <c r="E259" s="5"/>
      <c r="F259" s="5"/>
      <c r="P259" s="33"/>
      <c r="Q259" s="33"/>
      <c r="R259" s="33"/>
      <c r="S259" s="33"/>
      <c r="T259" s="33"/>
    </row>
    <row r="260" spans="2:20" ht="15.75" customHeight="1">
      <c r="B260" s="5"/>
      <c r="C260" s="5"/>
      <c r="D260" s="5"/>
      <c r="E260" s="5"/>
      <c r="F260" s="5"/>
      <c r="P260" s="33"/>
      <c r="Q260" s="33"/>
      <c r="R260" s="33"/>
      <c r="S260" s="33"/>
      <c r="T260" s="33"/>
    </row>
    <row r="261" spans="2:20" ht="15.75" customHeight="1">
      <c r="B261" s="5"/>
      <c r="C261" s="5"/>
      <c r="D261" s="5"/>
      <c r="E261" s="5"/>
      <c r="F261" s="5"/>
      <c r="P261" s="33"/>
      <c r="Q261" s="33"/>
      <c r="R261" s="33"/>
      <c r="S261" s="33"/>
      <c r="T261" s="33"/>
    </row>
    <row r="262" spans="2:20" ht="15.75" customHeight="1">
      <c r="B262" s="5"/>
      <c r="C262" s="5"/>
      <c r="D262" s="5"/>
      <c r="E262" s="5"/>
      <c r="F262" s="5"/>
      <c r="P262" s="33"/>
      <c r="Q262" s="33"/>
      <c r="R262" s="33"/>
      <c r="S262" s="33"/>
      <c r="T262" s="33"/>
    </row>
    <row r="263" spans="2:20" ht="15.75" customHeight="1">
      <c r="B263" s="5"/>
      <c r="C263" s="5"/>
      <c r="D263" s="5"/>
      <c r="E263" s="5"/>
      <c r="F263" s="5"/>
      <c r="P263" s="33"/>
      <c r="Q263" s="33"/>
      <c r="R263" s="33"/>
      <c r="S263" s="33"/>
      <c r="T263" s="33"/>
    </row>
    <row r="264" spans="2:20" ht="15.75" customHeight="1">
      <c r="B264" s="5"/>
      <c r="C264" s="5"/>
      <c r="D264" s="5"/>
      <c r="E264" s="5"/>
      <c r="F264" s="5"/>
      <c r="P264" s="33"/>
      <c r="Q264" s="33"/>
      <c r="R264" s="33"/>
      <c r="S264" s="33"/>
      <c r="T264" s="33"/>
    </row>
    <row r="265" spans="2:20" ht="15.75" customHeight="1">
      <c r="B265" s="5"/>
      <c r="C265" s="5"/>
      <c r="D265" s="5"/>
      <c r="E265" s="5"/>
      <c r="F265" s="5"/>
      <c r="P265" s="33"/>
      <c r="Q265" s="33"/>
      <c r="R265" s="33"/>
      <c r="S265" s="33"/>
      <c r="T265" s="33"/>
    </row>
    <row r="266" spans="2:20" ht="15.75" customHeight="1">
      <c r="B266" s="5"/>
      <c r="C266" s="5"/>
      <c r="D266" s="5"/>
      <c r="E266" s="5"/>
      <c r="F266" s="5"/>
      <c r="P266" s="33"/>
      <c r="Q266" s="33"/>
      <c r="R266" s="33"/>
      <c r="S266" s="33"/>
      <c r="T266" s="33"/>
    </row>
    <row r="267" spans="2:20" ht="15.75" customHeight="1">
      <c r="B267" s="5"/>
      <c r="C267" s="5"/>
      <c r="D267" s="5"/>
      <c r="E267" s="5"/>
      <c r="F267" s="5"/>
      <c r="P267" s="33"/>
      <c r="Q267" s="33"/>
      <c r="R267" s="33"/>
      <c r="S267" s="33"/>
      <c r="T267" s="33"/>
    </row>
    <row r="268" spans="2:20" ht="15.75" customHeight="1">
      <c r="B268" s="5"/>
      <c r="C268" s="5"/>
      <c r="D268" s="5"/>
      <c r="E268" s="5"/>
      <c r="F268" s="5"/>
      <c r="P268" s="33"/>
      <c r="Q268" s="33"/>
      <c r="R268" s="33"/>
      <c r="S268" s="33"/>
      <c r="T268" s="33"/>
    </row>
    <row r="269" spans="2:20" ht="15.75" customHeight="1">
      <c r="B269" s="5"/>
      <c r="C269" s="5"/>
      <c r="D269" s="5"/>
      <c r="E269" s="5"/>
      <c r="F269" s="5"/>
      <c r="P269" s="33"/>
      <c r="Q269" s="33"/>
      <c r="R269" s="33"/>
      <c r="S269" s="33"/>
      <c r="T269" s="33"/>
    </row>
    <row r="270" spans="2:20" ht="15.75" customHeight="1">
      <c r="B270" s="5"/>
      <c r="C270" s="5"/>
      <c r="D270" s="5"/>
      <c r="E270" s="5"/>
      <c r="F270" s="5"/>
      <c r="P270" s="33"/>
      <c r="Q270" s="33"/>
      <c r="R270" s="33"/>
      <c r="S270" s="33"/>
      <c r="T270" s="33"/>
    </row>
    <row r="271" spans="2:20" ht="15.75" customHeight="1">
      <c r="B271" s="5"/>
      <c r="C271" s="5"/>
      <c r="D271" s="5"/>
      <c r="E271" s="5"/>
      <c r="F271" s="5"/>
      <c r="P271" s="33"/>
      <c r="Q271" s="33"/>
      <c r="R271" s="33"/>
      <c r="S271" s="33"/>
      <c r="T271" s="33"/>
    </row>
    <row r="272" spans="2:20" ht="15.75" customHeight="1">
      <c r="B272" s="5"/>
      <c r="C272" s="5"/>
      <c r="D272" s="5"/>
      <c r="E272" s="5"/>
      <c r="F272" s="5"/>
      <c r="P272" s="33"/>
      <c r="Q272" s="33"/>
      <c r="R272" s="33"/>
      <c r="S272" s="33"/>
      <c r="T272" s="33"/>
    </row>
    <row r="273" spans="2:20" ht="15.75" customHeight="1">
      <c r="B273" s="5"/>
      <c r="C273" s="5"/>
      <c r="D273" s="5"/>
      <c r="E273" s="5"/>
      <c r="F273" s="5"/>
      <c r="P273" s="33"/>
      <c r="Q273" s="33"/>
      <c r="R273" s="33"/>
      <c r="S273" s="33"/>
      <c r="T273" s="33"/>
    </row>
    <row r="274" spans="2:20" ht="15.75" customHeight="1">
      <c r="B274" s="5"/>
      <c r="C274" s="5"/>
      <c r="D274" s="5"/>
      <c r="E274" s="5"/>
      <c r="F274" s="5"/>
      <c r="P274" s="33"/>
      <c r="Q274" s="33"/>
      <c r="R274" s="33"/>
      <c r="S274" s="33"/>
      <c r="T274" s="33"/>
    </row>
    <row r="275" spans="2:20" ht="15.75" customHeight="1">
      <c r="B275" s="5"/>
      <c r="C275" s="5"/>
      <c r="D275" s="5"/>
      <c r="E275" s="5"/>
      <c r="F275" s="5"/>
      <c r="P275" s="33"/>
      <c r="Q275" s="33"/>
      <c r="R275" s="33"/>
      <c r="S275" s="33"/>
      <c r="T275" s="33"/>
    </row>
    <row r="276" spans="2:20" ht="15.75" customHeight="1">
      <c r="B276" s="5"/>
      <c r="C276" s="5"/>
      <c r="D276" s="5"/>
      <c r="E276" s="5"/>
      <c r="F276" s="5"/>
      <c r="P276" s="33"/>
      <c r="Q276" s="33"/>
      <c r="R276" s="33"/>
      <c r="S276" s="33"/>
      <c r="T276" s="33"/>
    </row>
    <row r="277" spans="2:20" ht="15.75" customHeight="1">
      <c r="B277" s="5"/>
      <c r="C277" s="5"/>
      <c r="D277" s="5"/>
      <c r="E277" s="5"/>
      <c r="F277" s="5"/>
      <c r="P277" s="33"/>
      <c r="Q277" s="33"/>
      <c r="R277" s="33"/>
      <c r="S277" s="33"/>
      <c r="T277" s="33"/>
    </row>
    <row r="278" spans="2:20" ht="15.75" customHeight="1">
      <c r="B278" s="5"/>
      <c r="C278" s="5"/>
      <c r="D278" s="5"/>
      <c r="E278" s="5"/>
      <c r="F278" s="5"/>
      <c r="P278" s="33"/>
      <c r="Q278" s="33"/>
      <c r="R278" s="33"/>
      <c r="S278" s="33"/>
      <c r="T278" s="33"/>
    </row>
    <row r="279" spans="2:20" ht="15.75" customHeight="1">
      <c r="B279" s="5"/>
      <c r="C279" s="5"/>
      <c r="D279" s="5"/>
      <c r="E279" s="5"/>
      <c r="F279" s="5"/>
      <c r="P279" s="33"/>
      <c r="Q279" s="33"/>
      <c r="R279" s="33"/>
      <c r="S279" s="33"/>
      <c r="T279" s="33"/>
    </row>
    <row r="280" spans="2:20" ht="15.75" customHeight="1">
      <c r="B280" s="5"/>
      <c r="C280" s="5"/>
      <c r="D280" s="5"/>
      <c r="E280" s="5"/>
      <c r="F280" s="5"/>
      <c r="P280" s="33"/>
      <c r="Q280" s="33"/>
      <c r="R280" s="33"/>
      <c r="S280" s="33"/>
      <c r="T280" s="33"/>
    </row>
    <row r="281" spans="2:20" ht="15.75" customHeight="1">
      <c r="B281" s="5"/>
      <c r="C281" s="5"/>
      <c r="D281" s="5"/>
      <c r="E281" s="5"/>
      <c r="F281" s="5"/>
      <c r="P281" s="33"/>
      <c r="Q281" s="33"/>
      <c r="R281" s="33"/>
      <c r="S281" s="33"/>
      <c r="T281" s="33"/>
    </row>
    <row r="282" spans="2:20" ht="15.75" customHeight="1">
      <c r="B282" s="5"/>
      <c r="C282" s="5"/>
      <c r="D282" s="5"/>
      <c r="E282" s="5"/>
      <c r="F282" s="5"/>
      <c r="P282" s="33"/>
      <c r="Q282" s="33"/>
      <c r="R282" s="33"/>
      <c r="S282" s="33"/>
      <c r="T282" s="33"/>
    </row>
    <row r="283" spans="2:20" ht="15.75" customHeight="1">
      <c r="B283" s="5"/>
      <c r="C283" s="5"/>
      <c r="D283" s="5"/>
      <c r="E283" s="5"/>
      <c r="F283" s="5"/>
      <c r="P283" s="33"/>
      <c r="Q283" s="33"/>
      <c r="R283" s="33"/>
      <c r="S283" s="33"/>
      <c r="T283" s="33"/>
    </row>
    <row r="284" spans="2:20" ht="15.75" customHeight="1">
      <c r="B284" s="5"/>
      <c r="C284" s="5"/>
      <c r="D284" s="5"/>
      <c r="E284" s="5"/>
      <c r="F284" s="5"/>
      <c r="P284" s="33"/>
      <c r="Q284" s="33"/>
      <c r="R284" s="33"/>
      <c r="S284" s="33"/>
      <c r="T284" s="33"/>
    </row>
    <row r="285" spans="2:20" ht="15.75" customHeight="1">
      <c r="B285" s="5"/>
      <c r="C285" s="5"/>
      <c r="D285" s="5"/>
      <c r="E285" s="5"/>
      <c r="F285" s="5"/>
      <c r="P285" s="33"/>
      <c r="Q285" s="33"/>
      <c r="R285" s="33"/>
      <c r="S285" s="33"/>
      <c r="T285" s="33"/>
    </row>
    <row r="286" spans="2:20" ht="15.75" customHeight="1">
      <c r="B286" s="5"/>
      <c r="C286" s="5"/>
      <c r="D286" s="5"/>
      <c r="E286" s="5"/>
      <c r="F286" s="5"/>
      <c r="P286" s="33"/>
      <c r="Q286" s="33"/>
      <c r="R286" s="33"/>
      <c r="S286" s="33"/>
      <c r="T286" s="33"/>
    </row>
    <row r="287" spans="2:20" ht="15.75" customHeight="1">
      <c r="B287" s="5"/>
      <c r="C287" s="5"/>
      <c r="D287" s="5"/>
      <c r="E287" s="5"/>
      <c r="F287" s="5"/>
      <c r="P287" s="33"/>
      <c r="Q287" s="33"/>
      <c r="R287" s="33"/>
      <c r="S287" s="33"/>
      <c r="T287" s="33"/>
    </row>
    <row r="288" spans="2:20" ht="15.75" customHeight="1">
      <c r="B288" s="5"/>
      <c r="C288" s="5"/>
      <c r="D288" s="5"/>
      <c r="E288" s="5"/>
      <c r="F288" s="5"/>
      <c r="P288" s="33"/>
      <c r="Q288" s="33"/>
      <c r="R288" s="33"/>
      <c r="S288" s="33"/>
      <c r="T288" s="33"/>
    </row>
    <row r="289" spans="2:20" ht="15.75" customHeight="1">
      <c r="B289" s="5"/>
      <c r="C289" s="5"/>
      <c r="D289" s="5"/>
      <c r="E289" s="5"/>
      <c r="F289" s="5"/>
      <c r="P289" s="33"/>
      <c r="Q289" s="33"/>
      <c r="R289" s="33"/>
      <c r="S289" s="33"/>
      <c r="T289" s="33"/>
    </row>
    <row r="290" spans="2:20" ht="15.75" customHeight="1">
      <c r="B290" s="5"/>
      <c r="C290" s="5"/>
      <c r="D290" s="5"/>
      <c r="E290" s="5"/>
      <c r="F290" s="5"/>
      <c r="P290" s="33"/>
      <c r="Q290" s="33"/>
      <c r="R290" s="33"/>
      <c r="S290" s="33"/>
      <c r="T290" s="33"/>
    </row>
    <row r="291" spans="2:20" ht="15.75" customHeight="1">
      <c r="B291" s="5"/>
      <c r="C291" s="5"/>
      <c r="D291" s="5"/>
      <c r="E291" s="5"/>
      <c r="F291" s="5"/>
      <c r="P291" s="33"/>
      <c r="Q291" s="33"/>
      <c r="R291" s="33"/>
      <c r="S291" s="33"/>
      <c r="T291" s="33"/>
    </row>
    <row r="292" spans="2:20" ht="15.75" customHeight="1">
      <c r="B292" s="5"/>
      <c r="C292" s="5"/>
      <c r="D292" s="5"/>
      <c r="E292" s="5"/>
      <c r="F292" s="5"/>
      <c r="P292" s="33"/>
      <c r="Q292" s="33"/>
      <c r="R292" s="33"/>
      <c r="S292" s="33"/>
      <c r="T292" s="33"/>
    </row>
    <row r="293" spans="2:20" ht="15.75" customHeight="1">
      <c r="B293" s="5"/>
      <c r="C293" s="5"/>
      <c r="D293" s="5"/>
      <c r="E293" s="5"/>
      <c r="F293" s="5"/>
      <c r="P293" s="33"/>
      <c r="Q293" s="33"/>
      <c r="R293" s="33"/>
      <c r="S293" s="33"/>
      <c r="T293" s="33"/>
    </row>
    <row r="294" spans="2:20" ht="15.75" customHeight="1">
      <c r="B294" s="5"/>
      <c r="C294" s="5"/>
      <c r="D294" s="5"/>
      <c r="E294" s="5"/>
      <c r="F294" s="5"/>
      <c r="P294" s="33"/>
      <c r="Q294" s="33"/>
      <c r="R294" s="33"/>
      <c r="S294" s="33"/>
      <c r="T294" s="33"/>
    </row>
    <row r="295" spans="2:20" ht="15.75" customHeight="1">
      <c r="B295" s="5"/>
      <c r="C295" s="5"/>
      <c r="D295" s="5"/>
      <c r="E295" s="5"/>
      <c r="F295" s="5"/>
      <c r="P295" s="33"/>
      <c r="Q295" s="33"/>
      <c r="R295" s="33"/>
      <c r="S295" s="33"/>
      <c r="T295" s="33"/>
    </row>
    <row r="296" spans="2:20" ht="15.75" customHeight="1">
      <c r="B296" s="5"/>
      <c r="C296" s="5"/>
      <c r="D296" s="5"/>
      <c r="E296" s="5"/>
      <c r="F296" s="5"/>
      <c r="P296" s="33"/>
      <c r="Q296" s="33"/>
      <c r="R296" s="33"/>
      <c r="S296" s="33"/>
      <c r="T296" s="33"/>
    </row>
    <row r="297" spans="2:20" ht="15.75" customHeight="1">
      <c r="B297" s="5"/>
      <c r="C297" s="5"/>
      <c r="D297" s="5"/>
      <c r="E297" s="5"/>
      <c r="F297" s="5"/>
      <c r="P297" s="33"/>
      <c r="Q297" s="33"/>
      <c r="R297" s="33"/>
      <c r="S297" s="33"/>
      <c r="T297" s="33"/>
    </row>
    <row r="298" spans="2:20" ht="15.75" customHeight="1">
      <c r="B298" s="5"/>
      <c r="C298" s="5"/>
      <c r="D298" s="5"/>
      <c r="E298" s="5"/>
      <c r="F298" s="5"/>
      <c r="P298" s="33"/>
      <c r="Q298" s="33"/>
      <c r="R298" s="33"/>
      <c r="S298" s="33"/>
      <c r="T298" s="33"/>
    </row>
    <row r="299" spans="2:20" ht="15.75" customHeight="1">
      <c r="B299" s="5"/>
      <c r="C299" s="5"/>
      <c r="D299" s="5"/>
      <c r="E299" s="5"/>
      <c r="F299" s="5"/>
      <c r="P299" s="33"/>
      <c r="Q299" s="33"/>
      <c r="R299" s="33"/>
      <c r="S299" s="33"/>
      <c r="T299" s="33"/>
    </row>
    <row r="300" spans="2:20" ht="15.75" customHeight="1">
      <c r="B300" s="5"/>
      <c r="C300" s="5"/>
      <c r="D300" s="5"/>
      <c r="E300" s="5"/>
      <c r="F300" s="5"/>
      <c r="P300" s="33"/>
      <c r="Q300" s="33"/>
      <c r="R300" s="33"/>
      <c r="S300" s="33"/>
      <c r="T300" s="33"/>
    </row>
    <row r="301" spans="2:20" ht="15.75" customHeight="1">
      <c r="B301" s="5"/>
      <c r="C301" s="5"/>
      <c r="D301" s="5"/>
      <c r="E301" s="5"/>
      <c r="F301" s="5"/>
      <c r="P301" s="33"/>
      <c r="Q301" s="33"/>
      <c r="R301" s="33"/>
      <c r="S301" s="33"/>
      <c r="T301" s="33"/>
    </row>
    <row r="302" spans="2:20" ht="15.75" customHeight="1">
      <c r="B302" s="5"/>
      <c r="C302" s="5"/>
      <c r="D302" s="5"/>
      <c r="E302" s="5"/>
      <c r="F302" s="5"/>
      <c r="P302" s="33"/>
      <c r="Q302" s="33"/>
      <c r="R302" s="33"/>
      <c r="S302" s="33"/>
      <c r="T302" s="33"/>
    </row>
    <row r="303" spans="2:20" ht="15.75" customHeight="1">
      <c r="B303" s="5"/>
      <c r="C303" s="5"/>
      <c r="D303" s="5"/>
      <c r="E303" s="5"/>
      <c r="F303" s="5"/>
      <c r="P303" s="33"/>
      <c r="Q303" s="33"/>
      <c r="R303" s="33"/>
      <c r="S303" s="33"/>
      <c r="T303" s="33"/>
    </row>
    <row r="304" spans="2:20" ht="15.75" customHeight="1">
      <c r="B304" s="5"/>
      <c r="C304" s="5"/>
      <c r="D304" s="5"/>
      <c r="E304" s="5"/>
      <c r="F304" s="5"/>
      <c r="P304" s="33"/>
      <c r="Q304" s="33"/>
      <c r="R304" s="33"/>
      <c r="S304" s="33"/>
      <c r="T304" s="33"/>
    </row>
    <row r="305" spans="2:20" ht="15.75" customHeight="1">
      <c r="B305" s="5"/>
      <c r="C305" s="5"/>
      <c r="D305" s="5"/>
      <c r="E305" s="5"/>
      <c r="F305" s="5"/>
      <c r="P305" s="33"/>
      <c r="Q305" s="33"/>
      <c r="R305" s="33"/>
      <c r="S305" s="33"/>
      <c r="T305" s="33"/>
    </row>
    <row r="306" spans="2:20" ht="15.75" customHeight="1">
      <c r="B306" s="5"/>
      <c r="C306" s="5"/>
      <c r="D306" s="5"/>
      <c r="E306" s="5"/>
      <c r="F306" s="5"/>
      <c r="P306" s="33"/>
      <c r="Q306" s="33"/>
      <c r="R306" s="33"/>
      <c r="S306" s="33"/>
      <c r="T306" s="33"/>
    </row>
    <row r="307" spans="2:20" ht="15.75" customHeight="1">
      <c r="B307" s="5"/>
      <c r="C307" s="5"/>
      <c r="D307" s="5"/>
      <c r="E307" s="5"/>
      <c r="F307" s="5"/>
      <c r="P307" s="33"/>
      <c r="Q307" s="33"/>
      <c r="R307" s="33"/>
      <c r="S307" s="33"/>
      <c r="T307" s="33"/>
    </row>
    <row r="308" spans="2:20" ht="15.75" customHeight="1">
      <c r="B308" s="5"/>
      <c r="C308" s="5"/>
      <c r="D308" s="5"/>
      <c r="E308" s="5"/>
      <c r="F308" s="5"/>
      <c r="P308" s="33"/>
      <c r="Q308" s="33"/>
      <c r="R308" s="33"/>
      <c r="S308" s="33"/>
      <c r="T308" s="33"/>
    </row>
    <row r="309" spans="2:20" ht="15.75" customHeight="1">
      <c r="B309" s="5"/>
      <c r="C309" s="5"/>
      <c r="D309" s="5"/>
      <c r="E309" s="5"/>
      <c r="F309" s="5"/>
      <c r="P309" s="33"/>
      <c r="Q309" s="33"/>
      <c r="R309" s="33"/>
      <c r="S309" s="33"/>
      <c r="T309" s="33"/>
    </row>
    <row r="310" spans="2:20" ht="15.75" customHeight="1">
      <c r="B310" s="5"/>
      <c r="C310" s="5"/>
      <c r="D310" s="5"/>
      <c r="E310" s="5"/>
      <c r="F310" s="5"/>
      <c r="P310" s="33"/>
      <c r="Q310" s="33"/>
      <c r="R310" s="33"/>
      <c r="S310" s="33"/>
      <c r="T310" s="33"/>
    </row>
    <row r="311" spans="2:20" ht="15.75" customHeight="1">
      <c r="B311" s="5"/>
      <c r="C311" s="5"/>
      <c r="D311" s="5"/>
      <c r="E311" s="5"/>
      <c r="F311" s="5"/>
      <c r="P311" s="33"/>
      <c r="Q311" s="33"/>
      <c r="R311" s="33"/>
      <c r="S311" s="33"/>
      <c r="T311" s="33"/>
    </row>
    <row r="312" spans="2:20" ht="15.75" customHeight="1">
      <c r="B312" s="5"/>
      <c r="C312" s="5"/>
      <c r="D312" s="5"/>
      <c r="E312" s="5"/>
      <c r="F312" s="5"/>
      <c r="P312" s="33"/>
      <c r="Q312" s="33"/>
      <c r="R312" s="33"/>
      <c r="S312" s="33"/>
      <c r="T312" s="33"/>
    </row>
    <row r="313" spans="2:20" ht="15.75" customHeight="1">
      <c r="B313" s="5"/>
      <c r="C313" s="5"/>
      <c r="D313" s="5"/>
      <c r="E313" s="5"/>
      <c r="F313" s="5"/>
      <c r="P313" s="33"/>
      <c r="Q313" s="33"/>
      <c r="R313" s="33"/>
      <c r="S313" s="33"/>
      <c r="T313" s="33"/>
    </row>
    <row r="314" spans="2:20" ht="15.75" customHeight="1">
      <c r="B314" s="5"/>
      <c r="C314" s="5"/>
      <c r="D314" s="5"/>
      <c r="E314" s="5"/>
      <c r="F314" s="5"/>
      <c r="P314" s="33"/>
      <c r="Q314" s="33"/>
      <c r="R314" s="33"/>
      <c r="S314" s="33"/>
      <c r="T314" s="33"/>
    </row>
    <row r="315" spans="2:20" ht="15.75" customHeight="1">
      <c r="B315" s="5"/>
      <c r="C315" s="5"/>
      <c r="D315" s="5"/>
      <c r="E315" s="5"/>
      <c r="F315" s="5"/>
      <c r="P315" s="33"/>
      <c r="Q315" s="33"/>
      <c r="R315" s="33"/>
      <c r="S315" s="33"/>
      <c r="T315" s="33"/>
    </row>
    <row r="316" spans="2:20" ht="15.75" customHeight="1">
      <c r="B316" s="5"/>
      <c r="C316" s="5"/>
      <c r="D316" s="5"/>
      <c r="E316" s="5"/>
      <c r="F316" s="5"/>
      <c r="P316" s="33"/>
      <c r="Q316" s="33"/>
      <c r="R316" s="33"/>
      <c r="S316" s="33"/>
      <c r="T316" s="33"/>
    </row>
    <row r="317" spans="2:20" ht="15.75" customHeight="1">
      <c r="B317" s="5"/>
      <c r="C317" s="5"/>
      <c r="D317" s="5"/>
      <c r="E317" s="5"/>
      <c r="F317" s="5"/>
      <c r="P317" s="33"/>
      <c r="Q317" s="33"/>
      <c r="R317" s="33"/>
      <c r="S317" s="33"/>
      <c r="T317" s="33"/>
    </row>
    <row r="318" spans="2:20" ht="15.75" customHeight="1">
      <c r="B318" s="5"/>
      <c r="C318" s="5"/>
      <c r="D318" s="5"/>
      <c r="E318" s="5"/>
      <c r="F318" s="5"/>
      <c r="P318" s="33"/>
      <c r="Q318" s="33"/>
      <c r="R318" s="33"/>
      <c r="S318" s="33"/>
      <c r="T318" s="33"/>
    </row>
    <row r="319" spans="2:20" ht="15.75" customHeight="1">
      <c r="B319" s="5"/>
      <c r="C319" s="5"/>
      <c r="D319" s="5"/>
      <c r="E319" s="5"/>
      <c r="F319" s="5"/>
      <c r="P319" s="33"/>
      <c r="Q319" s="33"/>
      <c r="R319" s="33"/>
      <c r="S319" s="33"/>
      <c r="T319" s="33"/>
    </row>
    <row r="320" spans="2:20" ht="15.75" customHeight="1">
      <c r="B320" s="5"/>
      <c r="C320" s="5"/>
      <c r="D320" s="5"/>
      <c r="E320" s="5"/>
      <c r="F320" s="5"/>
      <c r="P320" s="33"/>
      <c r="Q320" s="33"/>
      <c r="R320" s="33"/>
      <c r="S320" s="33"/>
      <c r="T320" s="33"/>
    </row>
    <row r="321" spans="2:20" ht="15.75" customHeight="1">
      <c r="B321" s="5"/>
      <c r="C321" s="5"/>
      <c r="D321" s="5"/>
      <c r="E321" s="5"/>
      <c r="F321" s="5"/>
      <c r="P321" s="33"/>
      <c r="Q321" s="33"/>
      <c r="R321" s="33"/>
      <c r="S321" s="33"/>
      <c r="T321" s="33"/>
    </row>
    <row r="322" spans="2:20" ht="15.75" customHeight="1">
      <c r="B322" s="5"/>
      <c r="C322" s="5"/>
      <c r="D322" s="5"/>
      <c r="E322" s="5"/>
      <c r="F322" s="5"/>
      <c r="P322" s="33"/>
      <c r="Q322" s="33"/>
      <c r="R322" s="33"/>
      <c r="S322" s="33"/>
      <c r="T322" s="33"/>
    </row>
    <row r="323" spans="2:20" ht="15.75" customHeight="1">
      <c r="B323" s="5"/>
      <c r="C323" s="5"/>
      <c r="D323" s="5"/>
      <c r="E323" s="5"/>
      <c r="F323" s="5"/>
      <c r="P323" s="33"/>
      <c r="Q323" s="33"/>
      <c r="R323" s="33"/>
      <c r="S323" s="33"/>
      <c r="T323" s="33"/>
    </row>
    <row r="324" spans="2:20" ht="15.75" customHeight="1">
      <c r="B324" s="5"/>
      <c r="C324" s="5"/>
      <c r="D324" s="5"/>
      <c r="E324" s="5"/>
      <c r="F324" s="5"/>
      <c r="P324" s="33"/>
      <c r="Q324" s="33"/>
      <c r="R324" s="33"/>
      <c r="S324" s="33"/>
      <c r="T324" s="33"/>
    </row>
    <row r="325" spans="2:20" ht="15.75" customHeight="1">
      <c r="B325" s="5"/>
      <c r="C325" s="5"/>
      <c r="D325" s="5"/>
      <c r="E325" s="5"/>
      <c r="F325" s="5"/>
      <c r="P325" s="33"/>
      <c r="Q325" s="33"/>
      <c r="R325" s="33"/>
      <c r="S325" s="33"/>
      <c r="T325" s="33"/>
    </row>
    <row r="326" spans="2:20" ht="15.75" customHeight="1">
      <c r="B326" s="5"/>
      <c r="C326" s="5"/>
      <c r="D326" s="5"/>
      <c r="E326" s="5"/>
      <c r="F326" s="5"/>
      <c r="P326" s="33"/>
      <c r="Q326" s="33"/>
      <c r="R326" s="33"/>
      <c r="S326" s="33"/>
      <c r="T326" s="33"/>
    </row>
    <row r="327" spans="2:20" ht="15.75" customHeight="1">
      <c r="B327" s="5"/>
      <c r="C327" s="5"/>
      <c r="D327" s="5"/>
      <c r="E327" s="5"/>
      <c r="F327" s="5"/>
      <c r="P327" s="33"/>
      <c r="Q327" s="33"/>
      <c r="R327" s="33"/>
      <c r="S327" s="33"/>
      <c r="T327" s="33"/>
    </row>
    <row r="328" spans="2:20" ht="15.75" customHeight="1">
      <c r="B328" s="5"/>
      <c r="C328" s="5"/>
      <c r="D328" s="5"/>
      <c r="E328" s="5"/>
      <c r="F328" s="5"/>
      <c r="P328" s="33"/>
      <c r="Q328" s="33"/>
      <c r="R328" s="33"/>
      <c r="S328" s="33"/>
      <c r="T328" s="33"/>
    </row>
    <row r="329" spans="2:20" ht="15.75" customHeight="1">
      <c r="B329" s="5"/>
      <c r="C329" s="5"/>
      <c r="D329" s="5"/>
      <c r="E329" s="5"/>
      <c r="F329" s="5"/>
      <c r="P329" s="33"/>
      <c r="Q329" s="33"/>
      <c r="R329" s="33"/>
      <c r="S329" s="33"/>
      <c r="T329" s="33"/>
    </row>
    <row r="330" spans="2:20" ht="15.75" customHeight="1">
      <c r="B330" s="5"/>
      <c r="C330" s="5"/>
      <c r="D330" s="5"/>
      <c r="E330" s="5"/>
      <c r="F330" s="5"/>
      <c r="P330" s="33"/>
      <c r="Q330" s="33"/>
      <c r="R330" s="33"/>
      <c r="S330" s="33"/>
      <c r="T330" s="33"/>
    </row>
    <row r="331" spans="2:20" ht="15.75" customHeight="1">
      <c r="B331" s="5"/>
      <c r="C331" s="5"/>
      <c r="D331" s="5"/>
      <c r="E331" s="5"/>
      <c r="F331" s="5"/>
      <c r="P331" s="33"/>
      <c r="Q331" s="33"/>
      <c r="R331" s="33"/>
      <c r="S331" s="33"/>
      <c r="T331" s="33"/>
    </row>
    <row r="332" spans="2:20" ht="15.75" customHeight="1">
      <c r="B332" s="5"/>
      <c r="C332" s="5"/>
      <c r="D332" s="5"/>
      <c r="E332" s="5"/>
      <c r="F332" s="5"/>
      <c r="P332" s="33"/>
      <c r="Q332" s="33"/>
      <c r="R332" s="33"/>
      <c r="S332" s="33"/>
      <c r="T332" s="33"/>
    </row>
    <row r="333" spans="2:20" ht="15.75" customHeight="1">
      <c r="B333" s="5"/>
      <c r="C333" s="5"/>
      <c r="D333" s="5"/>
      <c r="E333" s="5"/>
      <c r="F333" s="5"/>
      <c r="P333" s="33"/>
      <c r="Q333" s="33"/>
      <c r="R333" s="33"/>
      <c r="S333" s="33"/>
      <c r="T333" s="33"/>
    </row>
    <row r="334" spans="2:20" ht="15.75" customHeight="1">
      <c r="B334" s="5"/>
      <c r="C334" s="5"/>
      <c r="D334" s="5"/>
      <c r="E334" s="5"/>
      <c r="F334" s="5"/>
      <c r="P334" s="33"/>
      <c r="Q334" s="33"/>
      <c r="R334" s="33"/>
      <c r="S334" s="33"/>
      <c r="T334" s="33"/>
    </row>
    <row r="335" spans="2:20" ht="15.75" customHeight="1">
      <c r="B335" s="5"/>
      <c r="C335" s="5"/>
      <c r="D335" s="5"/>
      <c r="E335" s="5"/>
      <c r="F335" s="5"/>
      <c r="P335" s="33"/>
      <c r="Q335" s="33"/>
      <c r="R335" s="33"/>
      <c r="S335" s="33"/>
      <c r="T335" s="33"/>
    </row>
    <row r="336" spans="2:20" ht="15.75" customHeight="1">
      <c r="B336" s="5"/>
      <c r="C336" s="5"/>
      <c r="D336" s="5"/>
      <c r="E336" s="5"/>
      <c r="F336" s="5"/>
      <c r="P336" s="33"/>
      <c r="Q336" s="33"/>
      <c r="R336" s="33"/>
      <c r="S336" s="33"/>
      <c r="T336" s="33"/>
    </row>
    <row r="337" spans="2:20" ht="15.75" customHeight="1">
      <c r="B337" s="5"/>
      <c r="C337" s="5"/>
      <c r="D337" s="5"/>
      <c r="E337" s="5"/>
      <c r="F337" s="5"/>
      <c r="P337" s="33"/>
      <c r="Q337" s="33"/>
      <c r="R337" s="33"/>
      <c r="S337" s="33"/>
      <c r="T337" s="33"/>
    </row>
    <row r="338" spans="2:20" ht="15.75" customHeight="1">
      <c r="B338" s="5"/>
      <c r="C338" s="5"/>
      <c r="D338" s="5"/>
      <c r="E338" s="5"/>
      <c r="F338" s="5"/>
      <c r="P338" s="33"/>
      <c r="Q338" s="33"/>
      <c r="R338" s="33"/>
      <c r="S338" s="33"/>
      <c r="T338" s="33"/>
    </row>
    <row r="339" spans="2:20" ht="15.75" customHeight="1">
      <c r="B339" s="5"/>
      <c r="C339" s="5"/>
      <c r="D339" s="5"/>
      <c r="E339" s="5"/>
      <c r="F339" s="5"/>
      <c r="P339" s="33"/>
      <c r="Q339" s="33"/>
      <c r="R339" s="33"/>
      <c r="S339" s="33"/>
      <c r="T339" s="33"/>
    </row>
    <row r="340" spans="2:20" ht="15.75" customHeight="1">
      <c r="B340" s="5"/>
      <c r="C340" s="5"/>
      <c r="D340" s="5"/>
      <c r="E340" s="5"/>
      <c r="F340" s="5"/>
      <c r="P340" s="33"/>
      <c r="Q340" s="33"/>
      <c r="R340" s="33"/>
      <c r="S340" s="33"/>
      <c r="T340" s="33"/>
    </row>
    <row r="341" spans="2:20" ht="15.75" customHeight="1">
      <c r="B341" s="5"/>
      <c r="C341" s="5"/>
      <c r="D341" s="5"/>
      <c r="E341" s="5"/>
      <c r="F341" s="5"/>
      <c r="P341" s="33"/>
      <c r="Q341" s="33"/>
      <c r="R341" s="33"/>
      <c r="S341" s="33"/>
      <c r="T341" s="33"/>
    </row>
    <row r="342" spans="2:20" ht="15.75" customHeight="1">
      <c r="B342" s="5"/>
      <c r="C342" s="5"/>
      <c r="D342" s="5"/>
      <c r="E342" s="5"/>
      <c r="F342" s="5"/>
      <c r="P342" s="33"/>
      <c r="Q342" s="33"/>
      <c r="R342" s="33"/>
      <c r="S342" s="33"/>
      <c r="T342" s="33"/>
    </row>
    <row r="343" spans="2:20" ht="15.75" customHeight="1">
      <c r="B343" s="5"/>
      <c r="C343" s="5"/>
      <c r="D343" s="5"/>
      <c r="E343" s="5"/>
      <c r="F343" s="5"/>
      <c r="P343" s="33"/>
      <c r="Q343" s="33"/>
      <c r="R343" s="33"/>
      <c r="S343" s="33"/>
      <c r="T343" s="33"/>
    </row>
    <row r="344" spans="2:20" ht="15.75" customHeight="1">
      <c r="B344" s="5"/>
      <c r="C344" s="5"/>
      <c r="D344" s="5"/>
      <c r="E344" s="5"/>
      <c r="F344" s="5"/>
      <c r="P344" s="33"/>
      <c r="Q344" s="33"/>
      <c r="R344" s="33"/>
      <c r="S344" s="33"/>
      <c r="T344" s="33"/>
    </row>
    <row r="345" spans="2:20" ht="15.75" customHeight="1">
      <c r="B345" s="5"/>
      <c r="C345" s="5"/>
      <c r="D345" s="5"/>
      <c r="E345" s="5"/>
      <c r="F345" s="5"/>
      <c r="P345" s="33"/>
      <c r="Q345" s="33"/>
      <c r="R345" s="33"/>
      <c r="S345" s="33"/>
      <c r="T345" s="33"/>
    </row>
    <row r="346" spans="2:20" ht="15.75" customHeight="1">
      <c r="B346" s="5"/>
      <c r="C346" s="5"/>
      <c r="D346" s="5"/>
      <c r="E346" s="5"/>
      <c r="F346" s="5"/>
      <c r="P346" s="33"/>
      <c r="Q346" s="33"/>
      <c r="R346" s="33"/>
      <c r="S346" s="33"/>
      <c r="T346" s="33"/>
    </row>
    <row r="347" spans="2:20" ht="15.75" customHeight="1">
      <c r="B347" s="5"/>
      <c r="C347" s="5"/>
      <c r="D347" s="5"/>
      <c r="E347" s="5"/>
      <c r="F347" s="5"/>
      <c r="P347" s="33"/>
      <c r="Q347" s="33"/>
      <c r="R347" s="33"/>
      <c r="S347" s="33"/>
      <c r="T347" s="33"/>
    </row>
    <row r="348" spans="2:20" ht="15.75" customHeight="1">
      <c r="B348" s="5"/>
      <c r="C348" s="5"/>
      <c r="D348" s="5"/>
      <c r="E348" s="5"/>
      <c r="F348" s="5"/>
      <c r="P348" s="33"/>
      <c r="Q348" s="33"/>
      <c r="R348" s="33"/>
      <c r="S348" s="33"/>
      <c r="T348" s="33"/>
    </row>
    <row r="349" spans="2:20" ht="15.75" customHeight="1">
      <c r="B349" s="5"/>
      <c r="C349" s="5"/>
      <c r="D349" s="5"/>
      <c r="E349" s="5"/>
      <c r="F349" s="5"/>
      <c r="P349" s="33"/>
      <c r="Q349" s="33"/>
      <c r="R349" s="33"/>
      <c r="S349" s="33"/>
      <c r="T349" s="33"/>
    </row>
    <row r="350" spans="2:20" ht="15.75" customHeight="1">
      <c r="B350" s="5"/>
      <c r="C350" s="5"/>
      <c r="D350" s="5"/>
      <c r="E350" s="5"/>
      <c r="F350" s="5"/>
      <c r="P350" s="33"/>
      <c r="Q350" s="33"/>
      <c r="R350" s="33"/>
      <c r="S350" s="33"/>
      <c r="T350" s="33"/>
    </row>
    <row r="351" spans="2:20" ht="15.75" customHeight="1">
      <c r="B351" s="5"/>
      <c r="C351" s="5"/>
      <c r="D351" s="5"/>
      <c r="E351" s="5"/>
      <c r="F351" s="5"/>
      <c r="P351" s="33"/>
      <c r="Q351" s="33"/>
      <c r="R351" s="33"/>
      <c r="S351" s="33"/>
      <c r="T351" s="33"/>
    </row>
    <row r="352" spans="2:20" ht="15.75" customHeight="1">
      <c r="B352" s="5"/>
      <c r="C352" s="5"/>
      <c r="D352" s="5"/>
      <c r="E352" s="5"/>
      <c r="F352" s="5"/>
      <c r="P352" s="33"/>
      <c r="Q352" s="33"/>
      <c r="R352" s="33"/>
      <c r="S352" s="33"/>
      <c r="T352" s="33"/>
    </row>
    <row r="353" spans="2:20" ht="15.75" customHeight="1">
      <c r="B353" s="5"/>
      <c r="C353" s="5"/>
      <c r="D353" s="5"/>
      <c r="E353" s="5"/>
      <c r="F353" s="5"/>
      <c r="P353" s="33"/>
      <c r="Q353" s="33"/>
      <c r="R353" s="33"/>
      <c r="S353" s="33"/>
      <c r="T353" s="33"/>
    </row>
    <row r="354" spans="2:20" ht="15.75" customHeight="1">
      <c r="B354" s="5"/>
      <c r="C354" s="5"/>
      <c r="D354" s="5"/>
      <c r="E354" s="5"/>
      <c r="F354" s="5"/>
      <c r="P354" s="33"/>
      <c r="Q354" s="33"/>
      <c r="R354" s="33"/>
      <c r="S354" s="33"/>
      <c r="T354" s="33"/>
    </row>
    <row r="355" spans="2:20" ht="15.75" customHeight="1">
      <c r="B355" s="5"/>
      <c r="C355" s="5"/>
      <c r="D355" s="5"/>
      <c r="E355" s="5"/>
      <c r="F355" s="5"/>
      <c r="P355" s="33"/>
      <c r="Q355" s="33"/>
      <c r="R355" s="33"/>
      <c r="S355" s="33"/>
      <c r="T355" s="33"/>
    </row>
    <row r="356" spans="2:20" ht="15.75" customHeight="1">
      <c r="B356" s="5"/>
      <c r="C356" s="5"/>
      <c r="D356" s="5"/>
      <c r="E356" s="5"/>
      <c r="F356" s="5"/>
      <c r="P356" s="33"/>
      <c r="Q356" s="33"/>
      <c r="R356" s="33"/>
      <c r="S356" s="33"/>
      <c r="T356" s="33"/>
    </row>
    <row r="357" spans="2:20" ht="15.75" customHeight="1">
      <c r="B357" s="5"/>
      <c r="C357" s="5"/>
      <c r="D357" s="5"/>
      <c r="E357" s="5"/>
      <c r="F357" s="5"/>
      <c r="P357" s="33"/>
      <c r="Q357" s="33"/>
      <c r="R357" s="33"/>
      <c r="S357" s="33"/>
      <c r="T357" s="33"/>
    </row>
    <row r="358" spans="2:20" ht="15.75" customHeight="1">
      <c r="B358" s="5"/>
      <c r="C358" s="5"/>
      <c r="D358" s="5"/>
      <c r="E358" s="5"/>
      <c r="F358" s="5"/>
      <c r="P358" s="33"/>
      <c r="Q358" s="33"/>
      <c r="R358" s="33"/>
      <c r="S358" s="33"/>
      <c r="T358" s="33"/>
    </row>
    <row r="359" spans="2:20" ht="15.75" customHeight="1">
      <c r="B359" s="5"/>
      <c r="C359" s="5"/>
      <c r="D359" s="5"/>
      <c r="E359" s="5"/>
      <c r="F359" s="5"/>
      <c r="P359" s="33"/>
      <c r="Q359" s="33"/>
      <c r="R359" s="33"/>
      <c r="S359" s="33"/>
      <c r="T359" s="33"/>
    </row>
    <row r="360" spans="2:20" ht="15.75" customHeight="1">
      <c r="B360" s="5"/>
      <c r="C360" s="5"/>
      <c r="D360" s="5"/>
      <c r="E360" s="5"/>
      <c r="F360" s="5"/>
      <c r="P360" s="33"/>
      <c r="Q360" s="33"/>
      <c r="R360" s="33"/>
      <c r="S360" s="33"/>
      <c r="T360" s="33"/>
    </row>
    <row r="361" spans="2:20" ht="15.75" customHeight="1">
      <c r="B361" s="5"/>
      <c r="C361" s="5"/>
      <c r="D361" s="5"/>
      <c r="E361" s="5"/>
      <c r="F361" s="5"/>
      <c r="P361" s="33"/>
      <c r="Q361" s="33"/>
      <c r="R361" s="33"/>
      <c r="S361" s="33"/>
      <c r="T361" s="33"/>
    </row>
    <row r="362" spans="2:20" ht="15.75" customHeight="1">
      <c r="B362" s="5"/>
      <c r="C362" s="5"/>
      <c r="D362" s="5"/>
      <c r="E362" s="5"/>
      <c r="F362" s="5"/>
      <c r="P362" s="33"/>
      <c r="Q362" s="33"/>
      <c r="R362" s="33"/>
      <c r="S362" s="33"/>
      <c r="T362" s="33"/>
    </row>
    <row r="363" spans="2:20" ht="15.75" customHeight="1">
      <c r="B363" s="5"/>
      <c r="C363" s="5"/>
      <c r="D363" s="5"/>
      <c r="E363" s="5"/>
      <c r="F363" s="5"/>
      <c r="P363" s="33"/>
      <c r="Q363" s="33"/>
      <c r="R363" s="33"/>
      <c r="S363" s="33"/>
      <c r="T363" s="33"/>
    </row>
    <row r="364" spans="2:20" ht="15.75" customHeight="1">
      <c r="B364" s="5"/>
      <c r="C364" s="5"/>
      <c r="D364" s="5"/>
      <c r="E364" s="5"/>
      <c r="F364" s="5"/>
      <c r="P364" s="33"/>
      <c r="Q364" s="33"/>
      <c r="R364" s="33"/>
      <c r="S364" s="33"/>
      <c r="T364" s="33"/>
    </row>
    <row r="365" spans="2:20" ht="15.75" customHeight="1">
      <c r="B365" s="5"/>
      <c r="C365" s="5"/>
      <c r="D365" s="5"/>
      <c r="E365" s="5"/>
      <c r="F365" s="5"/>
      <c r="P365" s="33"/>
      <c r="Q365" s="33"/>
      <c r="R365" s="33"/>
      <c r="S365" s="33"/>
      <c r="T365" s="33"/>
    </row>
    <row r="366" spans="2:20" ht="15.75" customHeight="1">
      <c r="B366" s="5"/>
      <c r="C366" s="5"/>
      <c r="D366" s="5"/>
      <c r="E366" s="5"/>
      <c r="F366" s="5"/>
      <c r="P366" s="33"/>
      <c r="Q366" s="33"/>
      <c r="R366" s="33"/>
      <c r="S366" s="33"/>
      <c r="T366" s="33"/>
    </row>
    <row r="367" spans="2:20" ht="15.75" customHeight="1">
      <c r="B367" s="5"/>
      <c r="C367" s="5"/>
      <c r="D367" s="5"/>
      <c r="E367" s="5"/>
      <c r="F367" s="5"/>
      <c r="P367" s="33"/>
      <c r="Q367" s="33"/>
      <c r="R367" s="33"/>
      <c r="S367" s="33"/>
      <c r="T367" s="33"/>
    </row>
    <row r="368" spans="2:20" ht="15.75" customHeight="1">
      <c r="B368" s="5"/>
      <c r="C368" s="5"/>
      <c r="D368" s="5"/>
      <c r="E368" s="5"/>
      <c r="F368" s="5"/>
      <c r="P368" s="33"/>
      <c r="Q368" s="33"/>
      <c r="R368" s="33"/>
      <c r="S368" s="33"/>
      <c r="T368" s="33"/>
    </row>
    <row r="369" spans="2:20" ht="15.75" customHeight="1">
      <c r="B369" s="5"/>
      <c r="C369" s="5"/>
      <c r="D369" s="5"/>
      <c r="E369" s="5"/>
      <c r="F369" s="5"/>
      <c r="P369" s="33"/>
      <c r="Q369" s="33"/>
      <c r="R369" s="33"/>
      <c r="S369" s="33"/>
      <c r="T369" s="33"/>
    </row>
    <row r="370" spans="2:20" ht="15.75" customHeight="1">
      <c r="B370" s="5"/>
      <c r="C370" s="5"/>
      <c r="D370" s="5"/>
      <c r="E370" s="5"/>
      <c r="F370" s="5"/>
      <c r="P370" s="33"/>
      <c r="Q370" s="33"/>
      <c r="R370" s="33"/>
      <c r="S370" s="33"/>
      <c r="T370" s="33"/>
    </row>
    <row r="371" spans="2:20" ht="15.75" customHeight="1">
      <c r="B371" s="5"/>
      <c r="C371" s="5"/>
      <c r="D371" s="5"/>
      <c r="E371" s="5"/>
      <c r="F371" s="5"/>
      <c r="P371" s="33"/>
      <c r="Q371" s="33"/>
      <c r="R371" s="33"/>
      <c r="S371" s="33"/>
      <c r="T371" s="33"/>
    </row>
    <row r="372" spans="2:20" ht="15.75" customHeight="1">
      <c r="B372" s="5"/>
      <c r="C372" s="5"/>
      <c r="D372" s="5"/>
      <c r="E372" s="5"/>
      <c r="F372" s="5"/>
      <c r="P372" s="33"/>
      <c r="Q372" s="33"/>
      <c r="R372" s="33"/>
      <c r="S372" s="33"/>
      <c r="T372" s="33"/>
    </row>
    <row r="373" spans="2:20" ht="15.75" customHeight="1">
      <c r="B373" s="5"/>
      <c r="C373" s="5"/>
      <c r="D373" s="5"/>
      <c r="E373" s="5"/>
      <c r="F373" s="5"/>
      <c r="P373" s="33"/>
      <c r="Q373" s="33"/>
      <c r="R373" s="33"/>
      <c r="S373" s="33"/>
      <c r="T373" s="33"/>
    </row>
    <row r="374" spans="2:20" ht="15.75" customHeight="1">
      <c r="B374" s="5"/>
      <c r="C374" s="5"/>
      <c r="D374" s="5"/>
      <c r="E374" s="5"/>
      <c r="F374" s="5"/>
      <c r="P374" s="33"/>
      <c r="Q374" s="33"/>
      <c r="R374" s="33"/>
      <c r="S374" s="33"/>
      <c r="T374" s="33"/>
    </row>
    <row r="375" spans="2:20" ht="15.75" customHeight="1">
      <c r="B375" s="5"/>
      <c r="C375" s="5"/>
      <c r="D375" s="5"/>
      <c r="E375" s="5"/>
      <c r="F375" s="5"/>
      <c r="P375" s="33"/>
      <c r="Q375" s="33"/>
      <c r="R375" s="33"/>
      <c r="S375" s="33"/>
      <c r="T375" s="33"/>
    </row>
    <row r="376" spans="2:20" ht="15.75" customHeight="1">
      <c r="B376" s="5"/>
      <c r="C376" s="5"/>
      <c r="D376" s="5"/>
      <c r="E376" s="5"/>
      <c r="F376" s="5"/>
      <c r="P376" s="33"/>
      <c r="Q376" s="33"/>
      <c r="R376" s="33"/>
      <c r="S376" s="33"/>
      <c r="T376" s="33"/>
    </row>
    <row r="377" spans="2:20" ht="15.75" customHeight="1">
      <c r="B377" s="5"/>
      <c r="C377" s="5"/>
      <c r="D377" s="5"/>
      <c r="E377" s="5"/>
      <c r="F377" s="5"/>
      <c r="P377" s="33"/>
      <c r="Q377" s="33"/>
      <c r="R377" s="33"/>
      <c r="S377" s="33"/>
      <c r="T377" s="33"/>
    </row>
    <row r="378" spans="2:20" ht="15.75" customHeight="1">
      <c r="B378" s="5"/>
      <c r="C378" s="5"/>
      <c r="D378" s="5"/>
      <c r="E378" s="5"/>
      <c r="F378" s="5"/>
      <c r="P378" s="33"/>
      <c r="Q378" s="33"/>
      <c r="R378" s="33"/>
      <c r="S378" s="33"/>
      <c r="T378" s="33"/>
    </row>
    <row r="379" spans="2:20" ht="15.75" customHeight="1">
      <c r="B379" s="5"/>
      <c r="C379" s="5"/>
      <c r="D379" s="5"/>
      <c r="E379" s="5"/>
      <c r="F379" s="5"/>
      <c r="P379" s="33"/>
      <c r="Q379" s="33"/>
      <c r="R379" s="33"/>
      <c r="S379" s="33"/>
      <c r="T379" s="33"/>
    </row>
    <row r="380" spans="2:20" ht="15.75" customHeight="1">
      <c r="B380" s="5"/>
      <c r="C380" s="5"/>
      <c r="D380" s="5"/>
      <c r="E380" s="5"/>
      <c r="F380" s="5"/>
      <c r="P380" s="33"/>
      <c r="Q380" s="33"/>
      <c r="R380" s="33"/>
      <c r="S380" s="33"/>
      <c r="T380" s="33"/>
    </row>
    <row r="381" spans="2:20" ht="15.75" customHeight="1">
      <c r="B381" s="5"/>
      <c r="C381" s="5"/>
      <c r="D381" s="5"/>
      <c r="E381" s="5"/>
      <c r="F381" s="5"/>
      <c r="P381" s="33"/>
      <c r="Q381" s="33"/>
      <c r="R381" s="33"/>
      <c r="S381" s="33"/>
      <c r="T381" s="33"/>
    </row>
    <row r="382" spans="2:20" ht="15.75" customHeight="1">
      <c r="B382" s="5"/>
      <c r="C382" s="5"/>
      <c r="D382" s="5"/>
      <c r="E382" s="5"/>
      <c r="F382" s="5"/>
      <c r="P382" s="33"/>
      <c r="Q382" s="33"/>
      <c r="R382" s="33"/>
      <c r="S382" s="33"/>
      <c r="T382" s="33"/>
    </row>
    <row r="383" spans="2:20" ht="15.75" customHeight="1">
      <c r="B383" s="5"/>
      <c r="C383" s="5"/>
      <c r="D383" s="5"/>
      <c r="E383" s="5"/>
      <c r="F383" s="5"/>
      <c r="P383" s="33"/>
      <c r="Q383" s="33"/>
      <c r="R383" s="33"/>
      <c r="S383" s="33"/>
      <c r="T383" s="33"/>
    </row>
    <row r="384" spans="2:20" ht="15.75" customHeight="1">
      <c r="B384" s="5"/>
      <c r="C384" s="5"/>
      <c r="D384" s="5"/>
      <c r="E384" s="5"/>
      <c r="F384" s="5"/>
      <c r="P384" s="33"/>
      <c r="Q384" s="33"/>
      <c r="R384" s="33"/>
      <c r="S384" s="33"/>
      <c r="T384" s="33"/>
    </row>
    <row r="385" spans="2:20" ht="15.75" customHeight="1">
      <c r="B385" s="5"/>
      <c r="C385" s="5"/>
      <c r="D385" s="5"/>
      <c r="E385" s="5"/>
      <c r="F385" s="5"/>
      <c r="P385" s="33"/>
      <c r="Q385" s="33"/>
      <c r="R385" s="33"/>
      <c r="S385" s="33"/>
      <c r="T385" s="33"/>
    </row>
    <row r="386" spans="2:20" ht="15.75" customHeight="1">
      <c r="B386" s="5"/>
      <c r="C386" s="5"/>
      <c r="D386" s="5"/>
      <c r="E386" s="5"/>
      <c r="F386" s="5"/>
      <c r="P386" s="33"/>
      <c r="Q386" s="33"/>
      <c r="R386" s="33"/>
      <c r="S386" s="33"/>
      <c r="T386" s="33"/>
    </row>
    <row r="387" spans="2:20" ht="15.75" customHeight="1">
      <c r="B387" s="5"/>
      <c r="C387" s="5"/>
      <c r="D387" s="5"/>
      <c r="E387" s="5"/>
      <c r="F387" s="5"/>
      <c r="P387" s="33"/>
      <c r="Q387" s="33"/>
      <c r="R387" s="33"/>
      <c r="S387" s="33"/>
      <c r="T387" s="33"/>
    </row>
    <row r="388" spans="2:20" ht="15.75" customHeight="1">
      <c r="B388" s="5"/>
      <c r="C388" s="5"/>
      <c r="D388" s="5"/>
      <c r="E388" s="5"/>
      <c r="F388" s="5"/>
      <c r="P388" s="33"/>
      <c r="Q388" s="33"/>
      <c r="R388" s="33"/>
      <c r="S388" s="33"/>
      <c r="T388" s="33"/>
    </row>
    <row r="389" spans="2:20" ht="15.75" customHeight="1">
      <c r="B389" s="5"/>
      <c r="C389" s="5"/>
      <c r="D389" s="5"/>
      <c r="E389" s="5"/>
      <c r="F389" s="5"/>
      <c r="P389" s="33"/>
      <c r="Q389" s="33"/>
      <c r="R389" s="33"/>
      <c r="S389" s="33"/>
      <c r="T389" s="33"/>
    </row>
    <row r="390" spans="2:20" ht="15.75" customHeight="1">
      <c r="B390" s="5"/>
      <c r="C390" s="5"/>
      <c r="D390" s="5"/>
      <c r="E390" s="5"/>
      <c r="F390" s="5"/>
      <c r="P390" s="33"/>
      <c r="Q390" s="33"/>
      <c r="R390" s="33"/>
      <c r="S390" s="33"/>
      <c r="T390" s="33"/>
    </row>
    <row r="391" spans="2:20" ht="15.75" customHeight="1">
      <c r="B391" s="5"/>
      <c r="C391" s="5"/>
      <c r="D391" s="5"/>
      <c r="E391" s="5"/>
      <c r="F391" s="5"/>
      <c r="P391" s="33"/>
      <c r="Q391" s="33"/>
      <c r="R391" s="33"/>
      <c r="S391" s="33"/>
      <c r="T391" s="33"/>
    </row>
    <row r="392" spans="2:20" ht="15.75" customHeight="1">
      <c r="B392" s="5"/>
      <c r="C392" s="5"/>
      <c r="D392" s="5"/>
      <c r="E392" s="5"/>
      <c r="F392" s="5"/>
      <c r="P392" s="33"/>
      <c r="Q392" s="33"/>
      <c r="R392" s="33"/>
      <c r="S392" s="33"/>
      <c r="T392" s="33"/>
    </row>
    <row r="393" spans="2:20" ht="15.75" customHeight="1">
      <c r="B393" s="5"/>
      <c r="C393" s="5"/>
      <c r="D393" s="5"/>
      <c r="E393" s="5"/>
      <c r="F393" s="5"/>
      <c r="P393" s="33"/>
      <c r="Q393" s="33"/>
      <c r="R393" s="33"/>
      <c r="S393" s="33"/>
      <c r="T393" s="33"/>
    </row>
    <row r="394" spans="2:20" ht="15.75" customHeight="1">
      <c r="B394" s="5"/>
      <c r="C394" s="5"/>
      <c r="D394" s="5"/>
      <c r="E394" s="5"/>
      <c r="F394" s="5"/>
      <c r="P394" s="33"/>
      <c r="Q394" s="33"/>
      <c r="R394" s="33"/>
      <c r="S394" s="33"/>
      <c r="T394" s="33"/>
    </row>
    <row r="395" spans="2:20" ht="15.75" customHeight="1">
      <c r="B395" s="5"/>
      <c r="C395" s="5"/>
      <c r="D395" s="5"/>
      <c r="E395" s="5"/>
      <c r="F395" s="5"/>
      <c r="P395" s="33"/>
      <c r="Q395" s="33"/>
      <c r="R395" s="33"/>
      <c r="S395" s="33"/>
      <c r="T395" s="33"/>
    </row>
    <row r="396" spans="2:20" ht="15.75" customHeight="1">
      <c r="B396" s="5"/>
      <c r="C396" s="5"/>
      <c r="D396" s="5"/>
      <c r="E396" s="5"/>
      <c r="F396" s="5"/>
      <c r="P396" s="33"/>
      <c r="Q396" s="33"/>
      <c r="R396" s="33"/>
      <c r="S396" s="33"/>
      <c r="T396" s="33"/>
    </row>
    <row r="397" spans="2:20" ht="15.75" customHeight="1">
      <c r="B397" s="5"/>
      <c r="C397" s="5"/>
      <c r="D397" s="5"/>
      <c r="E397" s="5"/>
      <c r="F397" s="5"/>
      <c r="P397" s="33"/>
      <c r="Q397" s="33"/>
      <c r="R397" s="33"/>
      <c r="S397" s="33"/>
      <c r="T397" s="33"/>
    </row>
    <row r="398" spans="2:20" ht="15.75" customHeight="1">
      <c r="B398" s="5"/>
      <c r="C398" s="5"/>
      <c r="D398" s="5"/>
      <c r="E398" s="5"/>
      <c r="F398" s="5"/>
      <c r="P398" s="33"/>
      <c r="Q398" s="33"/>
      <c r="R398" s="33"/>
      <c r="S398" s="33"/>
      <c r="T398" s="33"/>
    </row>
    <row r="399" spans="2:20" ht="15.75" customHeight="1">
      <c r="B399" s="5"/>
      <c r="C399" s="5"/>
      <c r="D399" s="5"/>
      <c r="E399" s="5"/>
      <c r="F399" s="5"/>
      <c r="P399" s="33"/>
      <c r="Q399" s="33"/>
      <c r="R399" s="33"/>
      <c r="S399" s="33"/>
      <c r="T399" s="33"/>
    </row>
    <row r="400" spans="2:20" ht="15.75" customHeight="1">
      <c r="B400" s="5"/>
      <c r="C400" s="5"/>
      <c r="D400" s="5"/>
      <c r="E400" s="5"/>
      <c r="F400" s="5"/>
      <c r="P400" s="33"/>
      <c r="Q400" s="33"/>
      <c r="R400" s="33"/>
      <c r="S400" s="33"/>
      <c r="T400" s="33"/>
    </row>
    <row r="401" spans="2:20" ht="15.75" customHeight="1">
      <c r="B401" s="5"/>
      <c r="C401" s="5"/>
      <c r="D401" s="5"/>
      <c r="E401" s="5"/>
      <c r="F401" s="5"/>
      <c r="P401" s="33"/>
      <c r="Q401" s="33"/>
      <c r="R401" s="33"/>
      <c r="S401" s="33"/>
      <c r="T401" s="33"/>
    </row>
    <row r="402" spans="2:20" ht="15.75" customHeight="1">
      <c r="B402" s="5"/>
      <c r="C402" s="5"/>
      <c r="D402" s="5"/>
      <c r="E402" s="5"/>
      <c r="F402" s="5"/>
      <c r="P402" s="33"/>
      <c r="Q402" s="33"/>
      <c r="R402" s="33"/>
      <c r="S402" s="33"/>
      <c r="T402" s="33"/>
    </row>
    <row r="403" spans="2:20" ht="15.75" customHeight="1">
      <c r="B403" s="5"/>
      <c r="C403" s="5"/>
      <c r="D403" s="5"/>
      <c r="E403" s="5"/>
      <c r="F403" s="5"/>
      <c r="P403" s="33"/>
      <c r="Q403" s="33"/>
      <c r="R403" s="33"/>
      <c r="S403" s="33"/>
      <c r="T403" s="33"/>
    </row>
    <row r="404" spans="2:20" ht="15.75" customHeight="1">
      <c r="B404" s="5"/>
      <c r="C404" s="5"/>
      <c r="D404" s="5"/>
      <c r="E404" s="5"/>
      <c r="F404" s="5"/>
      <c r="P404" s="33"/>
      <c r="Q404" s="33"/>
      <c r="R404" s="33"/>
      <c r="S404" s="33"/>
      <c r="T404" s="33"/>
    </row>
    <row r="405" spans="2:20" ht="15.75" customHeight="1">
      <c r="B405" s="5"/>
      <c r="C405" s="5"/>
      <c r="D405" s="5"/>
      <c r="E405" s="5"/>
      <c r="F405" s="5"/>
      <c r="P405" s="33"/>
      <c r="Q405" s="33"/>
      <c r="R405" s="33"/>
      <c r="S405" s="33"/>
      <c r="T405" s="33"/>
    </row>
    <row r="406" spans="2:20" ht="15.75" customHeight="1">
      <c r="B406" s="5"/>
      <c r="C406" s="5"/>
      <c r="D406" s="5"/>
      <c r="E406" s="5"/>
      <c r="F406" s="5"/>
      <c r="P406" s="33"/>
      <c r="Q406" s="33"/>
      <c r="R406" s="33"/>
      <c r="S406" s="33"/>
      <c r="T406" s="33"/>
    </row>
    <row r="407" spans="2:20" ht="15.75" customHeight="1">
      <c r="B407" s="5"/>
      <c r="C407" s="5"/>
      <c r="D407" s="5"/>
      <c r="E407" s="5"/>
      <c r="F407" s="5"/>
      <c r="P407" s="33"/>
      <c r="Q407" s="33"/>
      <c r="R407" s="33"/>
      <c r="S407" s="33"/>
      <c r="T407" s="33"/>
    </row>
    <row r="408" spans="2:20" ht="15.75" customHeight="1">
      <c r="B408" s="5"/>
      <c r="C408" s="5"/>
      <c r="D408" s="5"/>
      <c r="E408" s="5"/>
      <c r="F408" s="5"/>
      <c r="P408" s="33"/>
      <c r="Q408" s="33"/>
      <c r="R408" s="33"/>
      <c r="S408" s="33"/>
      <c r="T408" s="33"/>
    </row>
    <row r="409" spans="2:20" ht="15.75" customHeight="1">
      <c r="B409" s="5"/>
      <c r="C409" s="5"/>
      <c r="D409" s="5"/>
      <c r="E409" s="5"/>
      <c r="F409" s="5"/>
      <c r="P409" s="33"/>
      <c r="Q409" s="33"/>
      <c r="R409" s="33"/>
      <c r="S409" s="33"/>
      <c r="T409" s="33"/>
    </row>
    <row r="410" spans="2:20" ht="15.75" customHeight="1">
      <c r="B410" s="5"/>
      <c r="C410" s="5"/>
      <c r="D410" s="5"/>
      <c r="E410" s="5"/>
      <c r="F410" s="5"/>
      <c r="P410" s="33"/>
      <c r="Q410" s="33"/>
      <c r="R410" s="33"/>
      <c r="S410" s="33"/>
      <c r="T410" s="33"/>
    </row>
    <row r="411" spans="2:20" ht="15.75" customHeight="1">
      <c r="B411" s="5"/>
      <c r="C411" s="5"/>
      <c r="D411" s="5"/>
      <c r="E411" s="5"/>
      <c r="F411" s="5"/>
      <c r="P411" s="33"/>
      <c r="Q411" s="33"/>
      <c r="R411" s="33"/>
      <c r="S411" s="33"/>
      <c r="T411" s="33"/>
    </row>
    <row r="412" spans="2:20" ht="15.75" customHeight="1">
      <c r="B412" s="5"/>
      <c r="C412" s="5"/>
      <c r="D412" s="5"/>
      <c r="E412" s="5"/>
      <c r="F412" s="5"/>
      <c r="P412" s="33"/>
      <c r="Q412" s="33"/>
      <c r="R412" s="33"/>
      <c r="S412" s="33"/>
      <c r="T412" s="33"/>
    </row>
    <row r="413" spans="2:20" ht="15.75" customHeight="1">
      <c r="B413" s="5"/>
      <c r="C413" s="5"/>
      <c r="D413" s="5"/>
      <c r="E413" s="5"/>
      <c r="F413" s="5"/>
      <c r="P413" s="33"/>
      <c r="Q413" s="33"/>
      <c r="R413" s="33"/>
      <c r="S413" s="33"/>
      <c r="T413" s="33"/>
    </row>
    <row r="414" spans="2:20" ht="15.75" customHeight="1">
      <c r="B414" s="5"/>
      <c r="C414" s="5"/>
      <c r="D414" s="5"/>
      <c r="E414" s="5"/>
      <c r="F414" s="5"/>
      <c r="P414" s="33"/>
      <c r="Q414" s="33"/>
      <c r="R414" s="33"/>
      <c r="S414" s="33"/>
      <c r="T414" s="33"/>
    </row>
    <row r="415" spans="2:20" ht="15.75" customHeight="1">
      <c r="B415" s="5"/>
      <c r="C415" s="5"/>
      <c r="D415" s="5"/>
      <c r="E415" s="5"/>
      <c r="F415" s="5"/>
      <c r="P415" s="33"/>
      <c r="Q415" s="33"/>
      <c r="R415" s="33"/>
      <c r="S415" s="33"/>
      <c r="T415" s="33"/>
    </row>
    <row r="416" spans="2:20" ht="15.75" customHeight="1">
      <c r="B416" s="5"/>
      <c r="C416" s="5"/>
      <c r="D416" s="5"/>
      <c r="E416" s="5"/>
      <c r="F416" s="5"/>
      <c r="P416" s="33"/>
      <c r="Q416" s="33"/>
      <c r="R416" s="33"/>
      <c r="S416" s="33"/>
      <c r="T416" s="33"/>
    </row>
    <row r="417" spans="2:20" ht="15.75" customHeight="1">
      <c r="B417" s="5"/>
      <c r="C417" s="5"/>
      <c r="D417" s="5"/>
      <c r="E417" s="5"/>
      <c r="F417" s="5"/>
      <c r="P417" s="33"/>
      <c r="Q417" s="33"/>
      <c r="R417" s="33"/>
      <c r="S417" s="33"/>
      <c r="T417" s="33"/>
    </row>
    <row r="418" spans="2:20" ht="15.75" customHeight="1">
      <c r="B418" s="5"/>
      <c r="C418" s="5"/>
      <c r="D418" s="5"/>
      <c r="E418" s="5"/>
      <c r="F418" s="5"/>
      <c r="P418" s="33"/>
      <c r="Q418" s="33"/>
      <c r="R418" s="33"/>
      <c r="S418" s="33"/>
      <c r="T418" s="33"/>
    </row>
    <row r="419" spans="2:20" ht="15.75" customHeight="1">
      <c r="B419" s="5"/>
      <c r="C419" s="5"/>
      <c r="D419" s="5"/>
      <c r="E419" s="5"/>
      <c r="F419" s="5"/>
      <c r="P419" s="33"/>
      <c r="Q419" s="33"/>
      <c r="R419" s="33"/>
      <c r="S419" s="33"/>
      <c r="T419" s="33"/>
    </row>
    <row r="420" spans="2:20" ht="15.75" customHeight="1">
      <c r="B420" s="5"/>
      <c r="C420" s="5"/>
      <c r="D420" s="5"/>
      <c r="E420" s="5"/>
      <c r="F420" s="5"/>
      <c r="P420" s="33"/>
      <c r="Q420" s="33"/>
      <c r="R420" s="33"/>
      <c r="S420" s="33"/>
      <c r="T420" s="33"/>
    </row>
    <row r="421" spans="2:20" ht="15.75" customHeight="1">
      <c r="B421" s="5"/>
      <c r="C421" s="5"/>
      <c r="D421" s="5"/>
      <c r="E421" s="5"/>
      <c r="F421" s="5"/>
      <c r="P421" s="33"/>
      <c r="Q421" s="33"/>
      <c r="R421" s="33"/>
      <c r="S421" s="33"/>
      <c r="T421" s="33"/>
    </row>
    <row r="422" spans="2:20" ht="15.75" customHeight="1">
      <c r="B422" s="5"/>
      <c r="C422" s="5"/>
      <c r="D422" s="5"/>
      <c r="E422" s="5"/>
      <c r="F422" s="5"/>
      <c r="P422" s="33"/>
      <c r="Q422" s="33"/>
      <c r="R422" s="33"/>
      <c r="S422" s="33"/>
      <c r="T422" s="33"/>
    </row>
    <row r="423" spans="2:20" ht="15.75" customHeight="1">
      <c r="B423" s="5"/>
      <c r="C423" s="5"/>
      <c r="D423" s="5"/>
      <c r="E423" s="5"/>
      <c r="F423" s="5"/>
      <c r="P423" s="33"/>
      <c r="Q423" s="33"/>
      <c r="R423" s="33"/>
      <c r="S423" s="33"/>
      <c r="T423" s="33"/>
    </row>
    <row r="424" spans="2:20" ht="15.75" customHeight="1">
      <c r="B424" s="5"/>
      <c r="C424" s="5"/>
      <c r="D424" s="5"/>
      <c r="E424" s="5"/>
      <c r="F424" s="5"/>
      <c r="P424" s="33"/>
      <c r="Q424" s="33"/>
      <c r="R424" s="33"/>
      <c r="S424" s="33"/>
      <c r="T424" s="33"/>
    </row>
    <row r="425" spans="2:20" ht="15.75" customHeight="1">
      <c r="B425" s="5"/>
      <c r="C425" s="5"/>
      <c r="D425" s="5"/>
      <c r="E425" s="5"/>
      <c r="F425" s="5"/>
      <c r="P425" s="33"/>
      <c r="Q425" s="33"/>
      <c r="R425" s="33"/>
      <c r="S425" s="33"/>
      <c r="T425" s="33"/>
    </row>
    <row r="426" spans="2:20" ht="15.75" customHeight="1">
      <c r="B426" s="5"/>
      <c r="C426" s="5"/>
      <c r="D426" s="5"/>
      <c r="E426" s="5"/>
      <c r="F426" s="5"/>
      <c r="P426" s="33"/>
      <c r="Q426" s="33"/>
      <c r="R426" s="33"/>
      <c r="S426" s="33"/>
      <c r="T426" s="33"/>
    </row>
    <row r="427" spans="2:20" ht="15.75" customHeight="1">
      <c r="B427" s="5"/>
      <c r="C427" s="5"/>
      <c r="D427" s="5"/>
      <c r="E427" s="5"/>
      <c r="F427" s="5"/>
      <c r="P427" s="33"/>
      <c r="Q427" s="33"/>
      <c r="R427" s="33"/>
      <c r="S427" s="33"/>
      <c r="T427" s="33"/>
    </row>
    <row r="428" spans="2:20" ht="15.75" customHeight="1">
      <c r="B428" s="5"/>
      <c r="C428" s="5"/>
      <c r="D428" s="5"/>
      <c r="E428" s="5"/>
      <c r="F428" s="5"/>
      <c r="P428" s="33"/>
      <c r="Q428" s="33"/>
      <c r="R428" s="33"/>
      <c r="S428" s="33"/>
      <c r="T428" s="33"/>
    </row>
    <row r="429" spans="2:20" ht="15.75" customHeight="1">
      <c r="B429" s="5"/>
      <c r="C429" s="5"/>
      <c r="D429" s="5"/>
      <c r="E429" s="5"/>
      <c r="F429" s="5"/>
      <c r="P429" s="33"/>
      <c r="Q429" s="33"/>
      <c r="R429" s="33"/>
      <c r="S429" s="33"/>
      <c r="T429" s="33"/>
    </row>
    <row r="430" spans="2:20" ht="15.75" customHeight="1">
      <c r="B430" s="5"/>
      <c r="C430" s="5"/>
      <c r="D430" s="5"/>
      <c r="E430" s="5"/>
      <c r="F430" s="5"/>
      <c r="P430" s="33"/>
      <c r="Q430" s="33"/>
      <c r="R430" s="33"/>
      <c r="S430" s="33"/>
      <c r="T430" s="33"/>
    </row>
    <row r="431" spans="2:20" ht="15.75" customHeight="1">
      <c r="B431" s="5"/>
      <c r="C431" s="5"/>
      <c r="D431" s="5"/>
      <c r="E431" s="5"/>
      <c r="F431" s="5"/>
      <c r="P431" s="33"/>
      <c r="Q431" s="33"/>
      <c r="R431" s="33"/>
      <c r="S431" s="33"/>
      <c r="T431" s="33"/>
    </row>
    <row r="432" spans="2:20" ht="15.75" customHeight="1">
      <c r="B432" s="5"/>
      <c r="C432" s="5"/>
      <c r="D432" s="5"/>
      <c r="E432" s="5"/>
      <c r="F432" s="5"/>
      <c r="P432" s="33"/>
      <c r="Q432" s="33"/>
      <c r="R432" s="33"/>
      <c r="S432" s="33"/>
      <c r="T432" s="33"/>
    </row>
    <row r="433" spans="2:20" ht="15.75" customHeight="1">
      <c r="B433" s="5"/>
      <c r="C433" s="5"/>
      <c r="D433" s="5"/>
      <c r="E433" s="5"/>
      <c r="F433" s="5"/>
      <c r="P433" s="33"/>
      <c r="Q433" s="33"/>
      <c r="R433" s="33"/>
      <c r="S433" s="33"/>
      <c r="T433" s="33"/>
    </row>
    <row r="434" spans="2:20" ht="15.75" customHeight="1">
      <c r="B434" s="5"/>
      <c r="C434" s="5"/>
      <c r="D434" s="5"/>
      <c r="E434" s="5"/>
      <c r="F434" s="5"/>
      <c r="P434" s="33"/>
      <c r="Q434" s="33"/>
      <c r="R434" s="33"/>
      <c r="S434" s="33"/>
      <c r="T434" s="33"/>
    </row>
    <row r="435" spans="2:20" ht="15.75" customHeight="1">
      <c r="B435" s="5"/>
      <c r="C435" s="5"/>
      <c r="D435" s="5"/>
      <c r="E435" s="5"/>
      <c r="F435" s="5"/>
      <c r="P435" s="33"/>
      <c r="Q435" s="33"/>
      <c r="R435" s="33"/>
      <c r="S435" s="33"/>
      <c r="T435" s="33"/>
    </row>
    <row r="436" spans="2:20" ht="15.75" customHeight="1">
      <c r="B436" s="5"/>
      <c r="C436" s="5"/>
      <c r="D436" s="5"/>
      <c r="E436" s="5"/>
      <c r="F436" s="5"/>
      <c r="P436" s="33"/>
      <c r="Q436" s="33"/>
      <c r="R436" s="33"/>
      <c r="S436" s="33"/>
      <c r="T436" s="33"/>
    </row>
    <row r="437" spans="2:20" ht="15.75" customHeight="1">
      <c r="B437" s="5"/>
      <c r="C437" s="5"/>
      <c r="D437" s="5"/>
      <c r="E437" s="5"/>
      <c r="F437" s="5"/>
      <c r="P437" s="33"/>
      <c r="Q437" s="33"/>
      <c r="R437" s="33"/>
      <c r="S437" s="33"/>
      <c r="T437" s="33"/>
    </row>
    <row r="438" spans="2:20" ht="15.75" customHeight="1">
      <c r="B438" s="5"/>
      <c r="C438" s="5"/>
      <c r="D438" s="5"/>
      <c r="E438" s="5"/>
      <c r="F438" s="5"/>
      <c r="P438" s="33"/>
      <c r="Q438" s="33"/>
      <c r="R438" s="33"/>
      <c r="S438" s="33"/>
      <c r="T438" s="33"/>
    </row>
    <row r="439" spans="2:20" ht="15.75" customHeight="1">
      <c r="B439" s="5"/>
      <c r="C439" s="5"/>
      <c r="D439" s="5"/>
      <c r="E439" s="5"/>
      <c r="F439" s="5"/>
      <c r="P439" s="33"/>
      <c r="Q439" s="33"/>
      <c r="R439" s="33"/>
      <c r="S439" s="33"/>
      <c r="T439" s="33"/>
    </row>
    <row r="440" spans="2:20" ht="15.75" customHeight="1">
      <c r="B440" s="5"/>
      <c r="C440" s="5"/>
      <c r="D440" s="5"/>
      <c r="E440" s="5"/>
      <c r="F440" s="5"/>
      <c r="P440" s="33"/>
      <c r="Q440" s="33"/>
      <c r="R440" s="33"/>
      <c r="S440" s="33"/>
      <c r="T440" s="33"/>
    </row>
    <row r="441" spans="2:20" ht="15.75" customHeight="1">
      <c r="B441" s="5"/>
      <c r="C441" s="5"/>
      <c r="D441" s="5"/>
      <c r="E441" s="5"/>
      <c r="F441" s="5"/>
      <c r="P441" s="33"/>
      <c r="Q441" s="33"/>
      <c r="R441" s="33"/>
      <c r="S441" s="33"/>
      <c r="T441" s="33"/>
    </row>
    <row r="442" spans="2:20" ht="15.75" customHeight="1">
      <c r="B442" s="5"/>
      <c r="C442" s="5"/>
      <c r="D442" s="5"/>
      <c r="E442" s="5"/>
      <c r="F442" s="5"/>
      <c r="P442" s="33"/>
      <c r="Q442" s="33"/>
      <c r="R442" s="33"/>
      <c r="S442" s="33"/>
      <c r="T442" s="33"/>
    </row>
    <row r="443" spans="2:20" ht="15.75" customHeight="1">
      <c r="B443" s="5"/>
      <c r="C443" s="5"/>
      <c r="D443" s="5"/>
      <c r="E443" s="5"/>
      <c r="F443" s="5"/>
      <c r="P443" s="33"/>
      <c r="Q443" s="33"/>
      <c r="R443" s="33"/>
      <c r="S443" s="33"/>
      <c r="T443" s="33"/>
    </row>
    <row r="444" spans="2:20" ht="15.75" customHeight="1">
      <c r="B444" s="5"/>
      <c r="C444" s="5"/>
      <c r="D444" s="5"/>
      <c r="E444" s="5"/>
      <c r="F444" s="5"/>
      <c r="P444" s="33"/>
      <c r="Q444" s="33"/>
      <c r="R444" s="33"/>
      <c r="S444" s="33"/>
      <c r="T444" s="33"/>
    </row>
    <row r="445" spans="2:20" ht="15.75" customHeight="1">
      <c r="B445" s="5"/>
      <c r="C445" s="5"/>
      <c r="D445" s="5"/>
      <c r="E445" s="5"/>
      <c r="F445" s="5"/>
      <c r="P445" s="33"/>
      <c r="Q445" s="33"/>
      <c r="R445" s="33"/>
      <c r="S445" s="33"/>
      <c r="T445" s="33"/>
    </row>
    <row r="446" spans="2:20" ht="15.75" customHeight="1">
      <c r="B446" s="5"/>
      <c r="C446" s="5"/>
      <c r="D446" s="5"/>
      <c r="E446" s="5"/>
      <c r="F446" s="5"/>
      <c r="P446" s="33"/>
      <c r="Q446" s="33"/>
      <c r="R446" s="33"/>
      <c r="S446" s="33"/>
      <c r="T446" s="33"/>
    </row>
    <row r="447" spans="2:20" ht="15.75" customHeight="1">
      <c r="B447" s="5"/>
      <c r="C447" s="5"/>
      <c r="D447" s="5"/>
      <c r="E447" s="5"/>
      <c r="F447" s="5"/>
      <c r="P447" s="33"/>
      <c r="Q447" s="33"/>
      <c r="R447" s="33"/>
      <c r="S447" s="33"/>
      <c r="T447" s="33"/>
    </row>
    <row r="448" spans="2:20" ht="15.75" customHeight="1">
      <c r="B448" s="5"/>
      <c r="C448" s="5"/>
      <c r="D448" s="5"/>
      <c r="E448" s="5"/>
      <c r="F448" s="5"/>
      <c r="P448" s="33"/>
      <c r="Q448" s="33"/>
      <c r="R448" s="33"/>
      <c r="S448" s="33"/>
      <c r="T448" s="33"/>
    </row>
    <row r="449" spans="2:20" ht="15.75" customHeight="1">
      <c r="B449" s="5"/>
      <c r="C449" s="5"/>
      <c r="D449" s="5"/>
      <c r="E449" s="5"/>
      <c r="F449" s="5"/>
      <c r="P449" s="33"/>
      <c r="Q449" s="33"/>
      <c r="R449" s="33"/>
      <c r="S449" s="33"/>
      <c r="T449" s="33"/>
    </row>
    <row r="450" spans="2:20" ht="15.75" customHeight="1">
      <c r="B450" s="5"/>
      <c r="C450" s="5"/>
      <c r="D450" s="5"/>
      <c r="E450" s="5"/>
      <c r="F450" s="5"/>
      <c r="P450" s="33"/>
      <c r="Q450" s="33"/>
      <c r="R450" s="33"/>
      <c r="S450" s="33"/>
      <c r="T450" s="33"/>
    </row>
    <row r="451" spans="2:20" ht="15.75" customHeight="1">
      <c r="B451" s="5"/>
      <c r="C451" s="5"/>
      <c r="D451" s="5"/>
      <c r="E451" s="5"/>
      <c r="F451" s="5"/>
      <c r="P451" s="33"/>
      <c r="Q451" s="33"/>
      <c r="R451" s="33"/>
      <c r="S451" s="33"/>
      <c r="T451" s="33"/>
    </row>
    <row r="452" spans="2:20" ht="15.75" customHeight="1">
      <c r="B452" s="5"/>
      <c r="C452" s="5"/>
      <c r="D452" s="5"/>
      <c r="E452" s="5"/>
      <c r="F452" s="5"/>
      <c r="P452" s="33"/>
      <c r="Q452" s="33"/>
      <c r="R452" s="33"/>
      <c r="S452" s="33"/>
      <c r="T452" s="33"/>
    </row>
    <row r="453" spans="2:20" ht="15.75" customHeight="1">
      <c r="B453" s="5"/>
      <c r="C453" s="5"/>
      <c r="D453" s="5"/>
      <c r="E453" s="5"/>
      <c r="F453" s="5"/>
      <c r="P453" s="33"/>
      <c r="Q453" s="33"/>
      <c r="R453" s="33"/>
      <c r="S453" s="33"/>
      <c r="T453" s="33"/>
    </row>
    <row r="454" spans="2:20" ht="15.75" customHeight="1">
      <c r="B454" s="5"/>
      <c r="C454" s="5"/>
      <c r="D454" s="5"/>
      <c r="E454" s="5"/>
      <c r="F454" s="5"/>
      <c r="P454" s="33"/>
      <c r="Q454" s="33"/>
      <c r="R454" s="33"/>
      <c r="S454" s="33"/>
      <c r="T454" s="33"/>
    </row>
    <row r="455" spans="2:20" ht="15.75" customHeight="1">
      <c r="B455" s="5"/>
      <c r="C455" s="5"/>
      <c r="D455" s="5"/>
      <c r="E455" s="5"/>
      <c r="F455" s="5"/>
      <c r="P455" s="33"/>
      <c r="Q455" s="33"/>
      <c r="R455" s="33"/>
      <c r="S455" s="33"/>
      <c r="T455" s="33"/>
    </row>
    <row r="456" spans="2:20" ht="15.75" customHeight="1">
      <c r="B456" s="5"/>
      <c r="C456" s="5"/>
      <c r="D456" s="5"/>
      <c r="E456" s="5"/>
      <c r="F456" s="5"/>
      <c r="P456" s="33"/>
      <c r="Q456" s="33"/>
      <c r="R456" s="33"/>
      <c r="S456" s="33"/>
      <c r="T456" s="33"/>
    </row>
    <row r="457" spans="2:20" ht="15.75" customHeight="1">
      <c r="B457" s="5"/>
      <c r="C457" s="5"/>
      <c r="D457" s="5"/>
      <c r="E457" s="5"/>
      <c r="F457" s="5"/>
      <c r="P457" s="33"/>
      <c r="Q457" s="33"/>
      <c r="R457" s="33"/>
      <c r="S457" s="33"/>
      <c r="T457" s="33"/>
    </row>
    <row r="458" spans="2:20" ht="15.75" customHeight="1">
      <c r="B458" s="5"/>
      <c r="C458" s="5"/>
      <c r="D458" s="5"/>
      <c r="E458" s="5"/>
      <c r="F458" s="5"/>
      <c r="P458" s="33"/>
      <c r="Q458" s="33"/>
      <c r="R458" s="33"/>
      <c r="S458" s="33"/>
      <c r="T458" s="33"/>
    </row>
    <row r="459" spans="2:20" ht="15.75" customHeight="1">
      <c r="B459" s="5"/>
      <c r="C459" s="5"/>
      <c r="D459" s="5"/>
      <c r="E459" s="5"/>
      <c r="F459" s="5"/>
      <c r="P459" s="33"/>
      <c r="Q459" s="33"/>
      <c r="R459" s="33"/>
      <c r="S459" s="33"/>
      <c r="T459" s="33"/>
    </row>
    <row r="460" spans="2:20" ht="15.75" customHeight="1">
      <c r="B460" s="5"/>
      <c r="C460" s="5"/>
      <c r="D460" s="5"/>
      <c r="E460" s="5"/>
      <c r="F460" s="5"/>
      <c r="P460" s="33"/>
      <c r="Q460" s="33"/>
      <c r="R460" s="33"/>
      <c r="S460" s="33"/>
      <c r="T460" s="33"/>
    </row>
    <row r="461" spans="2:20" ht="15.75" customHeight="1">
      <c r="B461" s="5"/>
      <c r="C461" s="5"/>
      <c r="D461" s="5"/>
      <c r="E461" s="5"/>
      <c r="F461" s="5"/>
      <c r="P461" s="33"/>
      <c r="Q461" s="33"/>
      <c r="R461" s="33"/>
      <c r="S461" s="33"/>
      <c r="T461" s="33"/>
    </row>
    <row r="462" spans="2:20" ht="15.75" customHeight="1">
      <c r="B462" s="5"/>
      <c r="C462" s="5"/>
      <c r="D462" s="5"/>
      <c r="E462" s="5"/>
      <c r="F462" s="5"/>
      <c r="P462" s="33"/>
      <c r="Q462" s="33"/>
      <c r="R462" s="33"/>
      <c r="S462" s="33"/>
      <c r="T462" s="33"/>
    </row>
    <row r="463" spans="2:20" ht="15.75" customHeight="1">
      <c r="B463" s="5"/>
      <c r="C463" s="5"/>
      <c r="D463" s="5"/>
      <c r="E463" s="5"/>
      <c r="F463" s="5"/>
      <c r="P463" s="33"/>
      <c r="Q463" s="33"/>
      <c r="R463" s="33"/>
      <c r="S463" s="33"/>
      <c r="T463" s="33"/>
    </row>
    <row r="464" spans="2:20" ht="15.75" customHeight="1">
      <c r="B464" s="5"/>
      <c r="C464" s="5"/>
      <c r="D464" s="5"/>
      <c r="E464" s="5"/>
      <c r="F464" s="5"/>
      <c r="P464" s="33"/>
      <c r="Q464" s="33"/>
      <c r="R464" s="33"/>
      <c r="S464" s="33"/>
      <c r="T464" s="33"/>
    </row>
    <row r="465" spans="2:20" ht="15.75" customHeight="1">
      <c r="B465" s="5"/>
      <c r="C465" s="5"/>
      <c r="D465" s="5"/>
      <c r="E465" s="5"/>
      <c r="F465" s="5"/>
      <c r="P465" s="33"/>
      <c r="Q465" s="33"/>
      <c r="R465" s="33"/>
      <c r="S465" s="33"/>
      <c r="T465" s="33"/>
    </row>
    <row r="466" spans="2:20" ht="15.75" customHeight="1">
      <c r="B466" s="5"/>
      <c r="C466" s="5"/>
      <c r="D466" s="5"/>
      <c r="E466" s="5"/>
      <c r="F466" s="5"/>
      <c r="P466" s="33"/>
      <c r="Q466" s="33"/>
      <c r="R466" s="33"/>
      <c r="S466" s="33"/>
      <c r="T466" s="33"/>
    </row>
    <row r="467" spans="2:20" ht="15.75" customHeight="1">
      <c r="B467" s="5"/>
      <c r="C467" s="5"/>
      <c r="D467" s="5"/>
      <c r="E467" s="5"/>
      <c r="F467" s="5"/>
      <c r="P467" s="33"/>
      <c r="Q467" s="33"/>
      <c r="R467" s="33"/>
      <c r="S467" s="33"/>
      <c r="T467" s="33"/>
    </row>
    <row r="468" spans="2:20" ht="15.75" customHeight="1">
      <c r="B468" s="5"/>
      <c r="C468" s="5"/>
      <c r="D468" s="5"/>
      <c r="E468" s="5"/>
      <c r="F468" s="5"/>
      <c r="P468" s="33"/>
      <c r="Q468" s="33"/>
      <c r="R468" s="33"/>
      <c r="S468" s="33"/>
      <c r="T468" s="33"/>
    </row>
    <row r="469" spans="2:20" ht="15.75" customHeight="1">
      <c r="B469" s="5"/>
      <c r="C469" s="5"/>
      <c r="D469" s="5"/>
      <c r="E469" s="5"/>
      <c r="F469" s="5"/>
      <c r="P469" s="33"/>
      <c r="Q469" s="33"/>
      <c r="R469" s="33"/>
      <c r="S469" s="33"/>
      <c r="T469" s="33"/>
    </row>
    <row r="470" spans="2:20" ht="15.75" customHeight="1">
      <c r="B470" s="5"/>
      <c r="C470" s="5"/>
      <c r="D470" s="5"/>
      <c r="E470" s="5"/>
      <c r="F470" s="5"/>
      <c r="P470" s="33"/>
      <c r="Q470" s="33"/>
      <c r="R470" s="33"/>
      <c r="S470" s="33"/>
      <c r="T470" s="33"/>
    </row>
    <row r="471" spans="2:20" ht="15.75" customHeight="1">
      <c r="B471" s="5"/>
      <c r="C471" s="5"/>
      <c r="D471" s="5"/>
      <c r="E471" s="5"/>
      <c r="F471" s="5"/>
      <c r="P471" s="33"/>
      <c r="Q471" s="33"/>
      <c r="R471" s="33"/>
      <c r="S471" s="33"/>
      <c r="T471" s="33"/>
    </row>
    <row r="472" spans="2:20" ht="15.75" customHeight="1">
      <c r="B472" s="5"/>
      <c r="C472" s="5"/>
      <c r="D472" s="5"/>
      <c r="E472" s="5"/>
      <c r="F472" s="5"/>
      <c r="P472" s="33"/>
      <c r="Q472" s="33"/>
      <c r="R472" s="33"/>
      <c r="S472" s="33"/>
      <c r="T472" s="33"/>
    </row>
    <row r="473" spans="2:20" ht="15.75" customHeight="1">
      <c r="B473" s="5"/>
      <c r="C473" s="5"/>
      <c r="D473" s="5"/>
      <c r="E473" s="5"/>
      <c r="F473" s="5"/>
      <c r="P473" s="33"/>
      <c r="Q473" s="33"/>
      <c r="R473" s="33"/>
      <c r="S473" s="33"/>
      <c r="T473" s="33"/>
    </row>
    <row r="474" spans="2:20" ht="15.75" customHeight="1">
      <c r="B474" s="5"/>
      <c r="C474" s="5"/>
      <c r="D474" s="5"/>
      <c r="E474" s="5"/>
      <c r="F474" s="5"/>
      <c r="P474" s="33"/>
      <c r="Q474" s="33"/>
      <c r="R474" s="33"/>
      <c r="S474" s="33"/>
      <c r="T474" s="33"/>
    </row>
    <row r="475" spans="2:20" ht="15.75" customHeight="1">
      <c r="B475" s="5"/>
      <c r="C475" s="5"/>
      <c r="D475" s="5"/>
      <c r="E475" s="5"/>
      <c r="F475" s="5"/>
      <c r="P475" s="33"/>
      <c r="Q475" s="33"/>
      <c r="R475" s="33"/>
      <c r="S475" s="33"/>
      <c r="T475" s="33"/>
    </row>
    <row r="476" spans="2:20" ht="15.75" customHeight="1">
      <c r="B476" s="5"/>
      <c r="C476" s="5"/>
      <c r="D476" s="5"/>
      <c r="E476" s="5"/>
      <c r="F476" s="5"/>
      <c r="P476" s="33"/>
      <c r="Q476" s="33"/>
      <c r="R476" s="33"/>
      <c r="S476" s="33"/>
      <c r="T476" s="33"/>
    </row>
    <row r="477" spans="2:20" ht="15.75" customHeight="1">
      <c r="B477" s="5"/>
      <c r="C477" s="5"/>
      <c r="D477" s="5"/>
      <c r="E477" s="5"/>
      <c r="F477" s="5"/>
      <c r="P477" s="33"/>
      <c r="Q477" s="33"/>
      <c r="R477" s="33"/>
      <c r="S477" s="33"/>
      <c r="T477" s="33"/>
    </row>
    <row r="478" spans="2:20" ht="15.75" customHeight="1">
      <c r="B478" s="5"/>
      <c r="C478" s="5"/>
      <c r="D478" s="5"/>
      <c r="E478" s="5"/>
      <c r="F478" s="5"/>
      <c r="P478" s="33"/>
      <c r="Q478" s="33"/>
      <c r="R478" s="33"/>
      <c r="S478" s="33"/>
      <c r="T478" s="33"/>
    </row>
    <row r="479" spans="2:20" ht="15.75" customHeight="1">
      <c r="B479" s="5"/>
      <c r="C479" s="5"/>
      <c r="D479" s="5"/>
      <c r="E479" s="5"/>
      <c r="F479" s="5"/>
      <c r="P479" s="33"/>
      <c r="Q479" s="33"/>
      <c r="R479" s="33"/>
      <c r="S479" s="33"/>
      <c r="T479" s="33"/>
    </row>
    <row r="480" spans="2:20" ht="15.75" customHeight="1">
      <c r="B480" s="5"/>
      <c r="C480" s="5"/>
      <c r="D480" s="5"/>
      <c r="E480" s="5"/>
      <c r="F480" s="5"/>
      <c r="P480" s="33"/>
      <c r="Q480" s="33"/>
      <c r="R480" s="33"/>
      <c r="S480" s="33"/>
      <c r="T480" s="33"/>
    </row>
    <row r="481" spans="2:20" ht="15.75" customHeight="1">
      <c r="B481" s="5"/>
      <c r="C481" s="5"/>
      <c r="D481" s="5"/>
      <c r="E481" s="5"/>
      <c r="F481" s="5"/>
      <c r="P481" s="33"/>
      <c r="Q481" s="33"/>
      <c r="R481" s="33"/>
      <c r="S481" s="33"/>
      <c r="T481" s="33"/>
    </row>
    <row r="482" spans="2:20" ht="15.75" customHeight="1">
      <c r="B482" s="5"/>
      <c r="C482" s="5"/>
      <c r="D482" s="5"/>
      <c r="E482" s="5"/>
      <c r="F482" s="5"/>
      <c r="P482" s="33"/>
      <c r="Q482" s="33"/>
      <c r="R482" s="33"/>
      <c r="S482" s="33"/>
      <c r="T482" s="33"/>
    </row>
    <row r="483" spans="2:20" ht="15.75" customHeight="1">
      <c r="B483" s="5"/>
      <c r="C483" s="5"/>
      <c r="D483" s="5"/>
      <c r="E483" s="5"/>
      <c r="F483" s="5"/>
      <c r="P483" s="33"/>
      <c r="Q483" s="33"/>
      <c r="R483" s="33"/>
      <c r="S483" s="33"/>
      <c r="T483" s="33"/>
    </row>
    <row r="484" spans="2:20" ht="15.75" customHeight="1">
      <c r="B484" s="5"/>
      <c r="C484" s="5"/>
      <c r="D484" s="5"/>
      <c r="E484" s="5"/>
      <c r="F484" s="5"/>
      <c r="P484" s="33"/>
      <c r="Q484" s="33"/>
      <c r="R484" s="33"/>
      <c r="S484" s="33"/>
      <c r="T484" s="33"/>
    </row>
    <row r="485" spans="2:20" ht="15.75" customHeight="1">
      <c r="B485" s="5"/>
      <c r="C485" s="5"/>
      <c r="D485" s="5"/>
      <c r="E485" s="5"/>
      <c r="F485" s="5"/>
      <c r="P485" s="33"/>
      <c r="Q485" s="33"/>
      <c r="R485" s="33"/>
      <c r="S485" s="33"/>
      <c r="T485" s="33"/>
    </row>
    <row r="486" spans="2:20" ht="15.75" customHeight="1">
      <c r="B486" s="5"/>
      <c r="C486" s="5"/>
      <c r="D486" s="5"/>
      <c r="E486" s="5"/>
      <c r="F486" s="5"/>
      <c r="P486" s="33"/>
      <c r="Q486" s="33"/>
      <c r="R486" s="33"/>
      <c r="S486" s="33"/>
      <c r="T486" s="33"/>
    </row>
    <row r="487" spans="2:20" ht="15.75" customHeight="1">
      <c r="B487" s="5"/>
      <c r="C487" s="5"/>
      <c r="D487" s="5"/>
      <c r="E487" s="5"/>
      <c r="F487" s="5"/>
      <c r="P487" s="33"/>
      <c r="Q487" s="33"/>
      <c r="R487" s="33"/>
      <c r="S487" s="33"/>
      <c r="T487" s="33"/>
    </row>
    <row r="488" spans="2:20" ht="15.75" customHeight="1">
      <c r="B488" s="5"/>
      <c r="C488" s="5"/>
      <c r="D488" s="5"/>
      <c r="E488" s="5"/>
      <c r="F488" s="5"/>
      <c r="P488" s="33"/>
      <c r="Q488" s="33"/>
      <c r="R488" s="33"/>
      <c r="S488" s="33"/>
      <c r="T488" s="33"/>
    </row>
    <row r="489" spans="2:20" ht="15.75" customHeight="1">
      <c r="B489" s="5"/>
      <c r="C489" s="5"/>
      <c r="D489" s="5"/>
      <c r="E489" s="5"/>
      <c r="F489" s="5"/>
      <c r="P489" s="33"/>
      <c r="Q489" s="33"/>
      <c r="R489" s="33"/>
      <c r="S489" s="33"/>
      <c r="T489" s="33"/>
    </row>
    <row r="490" spans="2:20" ht="15.75" customHeight="1">
      <c r="B490" s="5"/>
      <c r="C490" s="5"/>
      <c r="D490" s="5"/>
      <c r="E490" s="5"/>
      <c r="F490" s="5"/>
      <c r="P490" s="33"/>
      <c r="Q490" s="33"/>
      <c r="R490" s="33"/>
      <c r="S490" s="33"/>
      <c r="T490" s="33"/>
    </row>
    <row r="491" spans="2:20" ht="15.75" customHeight="1">
      <c r="B491" s="5"/>
      <c r="C491" s="5"/>
      <c r="D491" s="5"/>
      <c r="E491" s="5"/>
      <c r="F491" s="5"/>
      <c r="P491" s="33"/>
      <c r="Q491" s="33"/>
      <c r="R491" s="33"/>
      <c r="S491" s="33"/>
      <c r="T491" s="33"/>
    </row>
    <row r="492" spans="2:20" ht="15.75" customHeight="1">
      <c r="B492" s="5"/>
      <c r="C492" s="5"/>
      <c r="D492" s="5"/>
      <c r="E492" s="5"/>
      <c r="F492" s="5"/>
      <c r="P492" s="33"/>
      <c r="Q492" s="33"/>
      <c r="R492" s="33"/>
      <c r="S492" s="33"/>
      <c r="T492" s="33"/>
    </row>
    <row r="493" spans="2:20" ht="15.75" customHeight="1">
      <c r="B493" s="5"/>
      <c r="C493" s="5"/>
      <c r="D493" s="5"/>
      <c r="E493" s="5"/>
      <c r="F493" s="5"/>
      <c r="P493" s="33"/>
      <c r="Q493" s="33"/>
      <c r="R493" s="33"/>
      <c r="S493" s="33"/>
      <c r="T493" s="33"/>
    </row>
    <row r="494" spans="2:20" ht="15.75" customHeight="1">
      <c r="B494" s="5"/>
      <c r="C494" s="5"/>
      <c r="D494" s="5"/>
      <c r="E494" s="5"/>
      <c r="F494" s="5"/>
      <c r="P494" s="33"/>
      <c r="Q494" s="33"/>
      <c r="R494" s="33"/>
      <c r="S494" s="33"/>
      <c r="T494" s="33"/>
    </row>
    <row r="495" spans="2:20" ht="15.75" customHeight="1">
      <c r="B495" s="5"/>
      <c r="C495" s="5"/>
      <c r="D495" s="5"/>
      <c r="E495" s="5"/>
      <c r="F495" s="5"/>
      <c r="P495" s="33"/>
      <c r="Q495" s="33"/>
      <c r="R495" s="33"/>
      <c r="S495" s="33"/>
      <c r="T495" s="33"/>
    </row>
    <row r="496" spans="2:20" ht="15.75" customHeight="1">
      <c r="B496" s="5"/>
      <c r="C496" s="5"/>
      <c r="D496" s="5"/>
      <c r="E496" s="5"/>
      <c r="F496" s="5"/>
      <c r="P496" s="33"/>
      <c r="Q496" s="33"/>
      <c r="R496" s="33"/>
      <c r="S496" s="33"/>
      <c r="T496" s="33"/>
    </row>
    <row r="497" spans="2:20" ht="15.75" customHeight="1">
      <c r="B497" s="5"/>
      <c r="C497" s="5"/>
      <c r="D497" s="5"/>
      <c r="E497" s="5"/>
      <c r="F497" s="5"/>
      <c r="P497" s="33"/>
      <c r="Q497" s="33"/>
      <c r="R497" s="33"/>
      <c r="S497" s="33"/>
      <c r="T497" s="33"/>
    </row>
    <row r="498" spans="2:20" ht="15.75" customHeight="1">
      <c r="B498" s="5"/>
      <c r="C498" s="5"/>
      <c r="D498" s="5"/>
      <c r="E498" s="5"/>
      <c r="F498" s="5"/>
      <c r="P498" s="33"/>
      <c r="Q498" s="33"/>
      <c r="R498" s="33"/>
      <c r="S498" s="33"/>
      <c r="T498" s="33"/>
    </row>
    <row r="499" spans="2:20" ht="15.75" customHeight="1">
      <c r="B499" s="5"/>
      <c r="C499" s="5"/>
      <c r="D499" s="5"/>
      <c r="E499" s="5"/>
      <c r="F499" s="5"/>
      <c r="P499" s="33"/>
      <c r="Q499" s="33"/>
      <c r="R499" s="33"/>
      <c r="S499" s="33"/>
      <c r="T499" s="33"/>
    </row>
    <row r="500" spans="2:20" ht="15.75" customHeight="1">
      <c r="B500" s="5"/>
      <c r="C500" s="5"/>
      <c r="D500" s="5"/>
      <c r="E500" s="5"/>
      <c r="F500" s="5"/>
      <c r="P500" s="33"/>
      <c r="Q500" s="33"/>
      <c r="R500" s="33"/>
      <c r="S500" s="33"/>
      <c r="T500" s="33"/>
    </row>
    <row r="501" spans="2:20" ht="15.75" customHeight="1">
      <c r="B501" s="5"/>
      <c r="C501" s="5"/>
      <c r="D501" s="5"/>
      <c r="E501" s="5"/>
      <c r="F501" s="5"/>
      <c r="P501" s="33"/>
      <c r="Q501" s="33"/>
      <c r="R501" s="33"/>
      <c r="S501" s="33"/>
      <c r="T501" s="33"/>
    </row>
    <row r="502" spans="2:20" ht="15.75" customHeight="1">
      <c r="B502" s="5"/>
      <c r="C502" s="5"/>
      <c r="D502" s="5"/>
      <c r="E502" s="5"/>
      <c r="F502" s="5"/>
      <c r="P502" s="33"/>
      <c r="Q502" s="33"/>
      <c r="R502" s="33"/>
      <c r="S502" s="33"/>
      <c r="T502" s="33"/>
    </row>
    <row r="503" spans="2:20" ht="15.75" customHeight="1">
      <c r="B503" s="5"/>
      <c r="C503" s="5"/>
      <c r="D503" s="5"/>
      <c r="E503" s="5"/>
      <c r="F503" s="5"/>
      <c r="P503" s="33"/>
      <c r="Q503" s="33"/>
      <c r="R503" s="33"/>
      <c r="S503" s="33"/>
      <c r="T503" s="33"/>
    </row>
    <row r="504" spans="2:20" ht="15.75" customHeight="1">
      <c r="B504" s="5"/>
      <c r="C504" s="5"/>
      <c r="D504" s="5"/>
      <c r="E504" s="5"/>
      <c r="F504" s="5"/>
      <c r="P504" s="33"/>
      <c r="Q504" s="33"/>
      <c r="R504" s="33"/>
      <c r="S504" s="33"/>
      <c r="T504" s="33"/>
    </row>
    <row r="505" spans="2:20" ht="15.75" customHeight="1">
      <c r="B505" s="5"/>
      <c r="C505" s="5"/>
      <c r="D505" s="5"/>
      <c r="E505" s="5"/>
      <c r="F505" s="5"/>
      <c r="P505" s="33"/>
      <c r="Q505" s="33"/>
      <c r="R505" s="33"/>
      <c r="S505" s="33"/>
      <c r="T505" s="33"/>
    </row>
    <row r="506" spans="2:20" ht="15.75" customHeight="1">
      <c r="B506" s="5"/>
      <c r="C506" s="5"/>
      <c r="D506" s="5"/>
      <c r="E506" s="5"/>
      <c r="F506" s="5"/>
      <c r="P506" s="33"/>
      <c r="Q506" s="33"/>
      <c r="R506" s="33"/>
      <c r="S506" s="33"/>
      <c r="T506" s="33"/>
    </row>
    <row r="507" spans="2:20" ht="15.75" customHeight="1">
      <c r="B507" s="5"/>
      <c r="C507" s="5"/>
      <c r="D507" s="5"/>
      <c r="E507" s="5"/>
      <c r="F507" s="5"/>
      <c r="P507" s="33"/>
      <c r="Q507" s="33"/>
      <c r="R507" s="33"/>
      <c r="S507" s="33"/>
      <c r="T507" s="33"/>
    </row>
    <row r="508" spans="2:20" ht="15.75" customHeight="1">
      <c r="B508" s="5"/>
      <c r="C508" s="5"/>
      <c r="D508" s="5"/>
      <c r="E508" s="5"/>
      <c r="F508" s="5"/>
      <c r="P508" s="33"/>
      <c r="Q508" s="33"/>
      <c r="R508" s="33"/>
      <c r="S508" s="33"/>
      <c r="T508" s="33"/>
    </row>
    <row r="509" spans="2:20" ht="15.75" customHeight="1">
      <c r="B509" s="5"/>
      <c r="C509" s="5"/>
      <c r="D509" s="5"/>
      <c r="E509" s="5"/>
      <c r="F509" s="5"/>
      <c r="P509" s="33"/>
      <c r="Q509" s="33"/>
      <c r="R509" s="33"/>
      <c r="S509" s="33"/>
      <c r="T509" s="33"/>
    </row>
    <row r="510" spans="2:20" ht="15.75" customHeight="1">
      <c r="B510" s="5"/>
      <c r="C510" s="5"/>
      <c r="D510" s="5"/>
      <c r="E510" s="5"/>
      <c r="F510" s="5"/>
      <c r="P510" s="33"/>
      <c r="Q510" s="33"/>
      <c r="R510" s="33"/>
      <c r="S510" s="33"/>
      <c r="T510" s="33"/>
    </row>
    <row r="511" spans="2:20" ht="15.75" customHeight="1">
      <c r="B511" s="5"/>
      <c r="C511" s="5"/>
      <c r="D511" s="5"/>
      <c r="E511" s="5"/>
      <c r="F511" s="5"/>
      <c r="P511" s="33"/>
      <c r="Q511" s="33"/>
      <c r="R511" s="33"/>
      <c r="S511" s="33"/>
      <c r="T511" s="33"/>
    </row>
    <row r="512" spans="2:20" ht="15.75" customHeight="1">
      <c r="B512" s="5"/>
      <c r="C512" s="5"/>
      <c r="D512" s="5"/>
      <c r="E512" s="5"/>
      <c r="F512" s="5"/>
      <c r="P512" s="33"/>
      <c r="Q512" s="33"/>
      <c r="R512" s="33"/>
      <c r="S512" s="33"/>
      <c r="T512" s="33"/>
    </row>
    <row r="513" spans="2:20" ht="15.75" customHeight="1">
      <c r="B513" s="5"/>
      <c r="C513" s="5"/>
      <c r="D513" s="5"/>
      <c r="E513" s="5"/>
      <c r="F513" s="5"/>
      <c r="P513" s="33"/>
      <c r="Q513" s="33"/>
      <c r="R513" s="33"/>
      <c r="S513" s="33"/>
      <c r="T513" s="33"/>
    </row>
    <row r="514" spans="2:20" ht="15.75" customHeight="1">
      <c r="B514" s="5"/>
      <c r="C514" s="5"/>
      <c r="D514" s="5"/>
      <c r="E514" s="5"/>
      <c r="F514" s="5"/>
      <c r="P514" s="33"/>
      <c r="Q514" s="33"/>
      <c r="R514" s="33"/>
      <c r="S514" s="33"/>
      <c r="T514" s="33"/>
    </row>
    <row r="515" spans="2:20" ht="15.75" customHeight="1">
      <c r="B515" s="5"/>
      <c r="C515" s="5"/>
      <c r="D515" s="5"/>
      <c r="E515" s="5"/>
      <c r="F515" s="5"/>
      <c r="P515" s="33"/>
      <c r="Q515" s="33"/>
      <c r="R515" s="33"/>
      <c r="S515" s="33"/>
      <c r="T515" s="33"/>
    </row>
    <row r="516" spans="2:20" ht="15.75" customHeight="1">
      <c r="B516" s="5"/>
      <c r="C516" s="5"/>
      <c r="D516" s="5"/>
      <c r="E516" s="5"/>
      <c r="F516" s="5"/>
      <c r="P516" s="33"/>
      <c r="Q516" s="33"/>
      <c r="R516" s="33"/>
      <c r="S516" s="33"/>
      <c r="T516" s="33"/>
    </row>
    <row r="517" spans="2:20" ht="15.75" customHeight="1">
      <c r="B517" s="5"/>
      <c r="C517" s="5"/>
      <c r="D517" s="5"/>
      <c r="E517" s="5"/>
      <c r="F517" s="5"/>
      <c r="P517" s="33"/>
      <c r="Q517" s="33"/>
      <c r="R517" s="33"/>
      <c r="S517" s="33"/>
      <c r="T517" s="33"/>
    </row>
    <row r="518" spans="2:20" ht="15.75" customHeight="1">
      <c r="B518" s="5"/>
      <c r="C518" s="5"/>
      <c r="D518" s="5"/>
      <c r="E518" s="5"/>
      <c r="F518" s="5"/>
      <c r="P518" s="33"/>
      <c r="Q518" s="33"/>
      <c r="R518" s="33"/>
      <c r="S518" s="33"/>
      <c r="T518" s="33"/>
    </row>
    <row r="519" spans="2:20" ht="15.75" customHeight="1">
      <c r="B519" s="5"/>
      <c r="C519" s="5"/>
      <c r="D519" s="5"/>
      <c r="E519" s="5"/>
      <c r="F519" s="5"/>
      <c r="P519" s="33"/>
      <c r="Q519" s="33"/>
      <c r="R519" s="33"/>
      <c r="S519" s="33"/>
      <c r="T519" s="33"/>
    </row>
    <row r="520" spans="2:20" ht="15.75" customHeight="1">
      <c r="B520" s="5"/>
      <c r="C520" s="5"/>
      <c r="D520" s="5"/>
      <c r="E520" s="5"/>
      <c r="F520" s="5"/>
      <c r="P520" s="33"/>
      <c r="Q520" s="33"/>
      <c r="R520" s="33"/>
      <c r="S520" s="33"/>
      <c r="T520" s="33"/>
    </row>
    <row r="521" spans="2:20" ht="15.75" customHeight="1">
      <c r="B521" s="5"/>
      <c r="C521" s="5"/>
      <c r="D521" s="5"/>
      <c r="E521" s="5"/>
      <c r="F521" s="5"/>
      <c r="P521" s="33"/>
      <c r="Q521" s="33"/>
      <c r="R521" s="33"/>
      <c r="S521" s="33"/>
      <c r="T521" s="33"/>
    </row>
    <row r="522" spans="2:20" ht="15.75" customHeight="1">
      <c r="B522" s="5"/>
      <c r="C522" s="5"/>
      <c r="D522" s="5"/>
      <c r="E522" s="5"/>
      <c r="F522" s="5"/>
      <c r="P522" s="33"/>
      <c r="Q522" s="33"/>
      <c r="R522" s="33"/>
      <c r="S522" s="33"/>
      <c r="T522" s="33"/>
    </row>
    <row r="523" spans="2:20" ht="15.75" customHeight="1">
      <c r="B523" s="5"/>
      <c r="C523" s="5"/>
      <c r="D523" s="5"/>
      <c r="E523" s="5"/>
      <c r="F523" s="5"/>
      <c r="P523" s="33"/>
      <c r="Q523" s="33"/>
      <c r="R523" s="33"/>
      <c r="S523" s="33"/>
      <c r="T523" s="33"/>
    </row>
    <row r="524" spans="2:20" ht="15.75" customHeight="1">
      <c r="B524" s="5"/>
      <c r="C524" s="5"/>
      <c r="D524" s="5"/>
      <c r="E524" s="5"/>
      <c r="F524" s="5"/>
      <c r="P524" s="33"/>
      <c r="Q524" s="33"/>
      <c r="R524" s="33"/>
      <c r="S524" s="33"/>
      <c r="T524" s="33"/>
    </row>
    <row r="525" spans="2:20" ht="15.75" customHeight="1">
      <c r="B525" s="5"/>
      <c r="C525" s="5"/>
      <c r="D525" s="5"/>
      <c r="E525" s="5"/>
      <c r="F525" s="5"/>
      <c r="P525" s="33"/>
      <c r="Q525" s="33"/>
      <c r="R525" s="33"/>
      <c r="S525" s="33"/>
      <c r="T525" s="33"/>
    </row>
    <row r="526" spans="2:20" ht="15.75" customHeight="1">
      <c r="B526" s="5"/>
      <c r="C526" s="5"/>
      <c r="D526" s="5"/>
      <c r="E526" s="5"/>
      <c r="F526" s="5"/>
      <c r="P526" s="33"/>
      <c r="Q526" s="33"/>
      <c r="R526" s="33"/>
      <c r="S526" s="33"/>
      <c r="T526" s="33"/>
    </row>
    <row r="527" spans="2:20" ht="15.75" customHeight="1">
      <c r="B527" s="5"/>
      <c r="C527" s="5"/>
      <c r="D527" s="5"/>
      <c r="E527" s="5"/>
      <c r="F527" s="5"/>
      <c r="P527" s="33"/>
      <c r="Q527" s="33"/>
      <c r="R527" s="33"/>
      <c r="S527" s="33"/>
      <c r="T527" s="33"/>
    </row>
    <row r="528" spans="2:20" ht="15.75" customHeight="1">
      <c r="B528" s="5"/>
      <c r="C528" s="5"/>
      <c r="D528" s="5"/>
      <c r="E528" s="5"/>
      <c r="F528" s="5"/>
      <c r="P528" s="33"/>
      <c r="Q528" s="33"/>
      <c r="R528" s="33"/>
      <c r="S528" s="33"/>
      <c r="T528" s="33"/>
    </row>
    <row r="529" spans="2:20" ht="15.75" customHeight="1">
      <c r="B529" s="5"/>
      <c r="C529" s="5"/>
      <c r="D529" s="5"/>
      <c r="E529" s="5"/>
      <c r="F529" s="5"/>
      <c r="P529" s="33"/>
      <c r="Q529" s="33"/>
      <c r="R529" s="33"/>
      <c r="S529" s="33"/>
      <c r="T529" s="33"/>
    </row>
    <row r="530" spans="2:20" ht="15.75" customHeight="1">
      <c r="B530" s="5"/>
      <c r="C530" s="5"/>
      <c r="D530" s="5"/>
      <c r="E530" s="5"/>
      <c r="F530" s="5"/>
      <c r="P530" s="33"/>
      <c r="Q530" s="33"/>
      <c r="R530" s="33"/>
      <c r="S530" s="33"/>
      <c r="T530" s="33"/>
    </row>
    <row r="531" spans="2:20" ht="15.75" customHeight="1">
      <c r="B531" s="5"/>
      <c r="C531" s="5"/>
      <c r="D531" s="5"/>
      <c r="E531" s="5"/>
      <c r="F531" s="5"/>
      <c r="P531" s="33"/>
      <c r="Q531" s="33"/>
      <c r="R531" s="33"/>
      <c r="S531" s="33"/>
      <c r="T531" s="33"/>
    </row>
    <row r="532" spans="2:20" ht="15.75" customHeight="1">
      <c r="B532" s="5"/>
      <c r="C532" s="5"/>
      <c r="D532" s="5"/>
      <c r="E532" s="5"/>
      <c r="F532" s="5"/>
      <c r="P532" s="33"/>
      <c r="Q532" s="33"/>
      <c r="R532" s="33"/>
      <c r="S532" s="33"/>
      <c r="T532" s="33"/>
    </row>
    <row r="533" spans="2:20" ht="15.75" customHeight="1">
      <c r="B533" s="5"/>
      <c r="C533" s="5"/>
      <c r="D533" s="5"/>
      <c r="E533" s="5"/>
      <c r="F533" s="5"/>
      <c r="P533" s="33"/>
      <c r="Q533" s="33"/>
      <c r="R533" s="33"/>
      <c r="S533" s="33"/>
      <c r="T533" s="33"/>
    </row>
    <row r="534" spans="2:20" ht="15.75" customHeight="1">
      <c r="B534" s="5"/>
      <c r="C534" s="5"/>
      <c r="D534" s="5"/>
      <c r="E534" s="5"/>
      <c r="F534" s="5"/>
      <c r="P534" s="33"/>
      <c r="Q534" s="33"/>
      <c r="R534" s="33"/>
      <c r="S534" s="33"/>
      <c r="T534" s="33"/>
    </row>
    <row r="535" spans="2:20" ht="15.75" customHeight="1">
      <c r="B535" s="5"/>
      <c r="C535" s="5"/>
      <c r="D535" s="5"/>
      <c r="E535" s="5"/>
      <c r="F535" s="5"/>
      <c r="P535" s="33"/>
      <c r="Q535" s="33"/>
      <c r="R535" s="33"/>
      <c r="S535" s="33"/>
      <c r="T535" s="33"/>
    </row>
    <row r="536" spans="2:20" ht="15.75" customHeight="1">
      <c r="B536" s="5"/>
      <c r="C536" s="5"/>
      <c r="D536" s="5"/>
      <c r="E536" s="5"/>
      <c r="F536" s="5"/>
      <c r="P536" s="33"/>
      <c r="Q536" s="33"/>
      <c r="R536" s="33"/>
      <c r="S536" s="33"/>
      <c r="T536" s="33"/>
    </row>
    <row r="537" spans="2:20" ht="15.75" customHeight="1">
      <c r="B537" s="5"/>
      <c r="C537" s="5"/>
      <c r="D537" s="5"/>
      <c r="E537" s="5"/>
      <c r="F537" s="5"/>
      <c r="P537" s="33"/>
      <c r="Q537" s="33"/>
      <c r="R537" s="33"/>
      <c r="S537" s="33"/>
      <c r="T537" s="33"/>
    </row>
    <row r="538" spans="2:20" ht="15.75" customHeight="1">
      <c r="B538" s="5"/>
      <c r="C538" s="5"/>
      <c r="D538" s="5"/>
      <c r="E538" s="5"/>
      <c r="F538" s="5"/>
      <c r="P538" s="33"/>
      <c r="Q538" s="33"/>
      <c r="R538" s="33"/>
      <c r="S538" s="33"/>
      <c r="T538" s="33"/>
    </row>
    <row r="539" spans="2:20" ht="15.75" customHeight="1">
      <c r="B539" s="5"/>
      <c r="C539" s="5"/>
      <c r="D539" s="5"/>
      <c r="E539" s="5"/>
      <c r="F539" s="5"/>
      <c r="P539" s="33"/>
      <c r="Q539" s="33"/>
      <c r="R539" s="33"/>
      <c r="S539" s="33"/>
      <c r="T539" s="33"/>
    </row>
    <row r="540" spans="2:20" ht="15.75" customHeight="1">
      <c r="B540" s="5"/>
      <c r="C540" s="5"/>
      <c r="D540" s="5"/>
      <c r="E540" s="5"/>
      <c r="F540" s="5"/>
      <c r="P540" s="33"/>
      <c r="Q540" s="33"/>
      <c r="R540" s="33"/>
      <c r="S540" s="33"/>
      <c r="T540" s="33"/>
    </row>
    <row r="541" spans="2:20" ht="15.75" customHeight="1">
      <c r="B541" s="5"/>
      <c r="C541" s="5"/>
      <c r="D541" s="5"/>
      <c r="E541" s="5"/>
      <c r="F541" s="5"/>
      <c r="P541" s="33"/>
      <c r="Q541" s="33"/>
      <c r="R541" s="33"/>
      <c r="S541" s="33"/>
      <c r="T541" s="33"/>
    </row>
    <row r="542" spans="2:20" ht="15.75" customHeight="1">
      <c r="B542" s="5"/>
      <c r="C542" s="5"/>
      <c r="D542" s="5"/>
      <c r="E542" s="5"/>
      <c r="F542" s="5"/>
      <c r="P542" s="33"/>
      <c r="Q542" s="33"/>
      <c r="R542" s="33"/>
      <c r="S542" s="33"/>
      <c r="T542" s="33"/>
    </row>
    <row r="543" spans="2:20" ht="15.75" customHeight="1">
      <c r="B543" s="5"/>
      <c r="C543" s="5"/>
      <c r="D543" s="5"/>
      <c r="E543" s="5"/>
      <c r="F543" s="5"/>
      <c r="P543" s="33"/>
      <c r="Q543" s="33"/>
      <c r="R543" s="33"/>
      <c r="S543" s="33"/>
      <c r="T543" s="33"/>
    </row>
    <row r="544" spans="2:20" ht="15.75" customHeight="1">
      <c r="B544" s="5"/>
      <c r="C544" s="5"/>
      <c r="D544" s="5"/>
      <c r="E544" s="5"/>
      <c r="F544" s="5"/>
      <c r="P544" s="33"/>
      <c r="Q544" s="33"/>
      <c r="R544" s="33"/>
      <c r="S544" s="33"/>
      <c r="T544" s="33"/>
    </row>
    <row r="545" spans="2:20" ht="15.75" customHeight="1">
      <c r="B545" s="5"/>
      <c r="C545" s="5"/>
      <c r="D545" s="5"/>
      <c r="E545" s="5"/>
      <c r="F545" s="5"/>
      <c r="P545" s="33"/>
      <c r="Q545" s="33"/>
      <c r="R545" s="33"/>
      <c r="S545" s="33"/>
      <c r="T545" s="33"/>
    </row>
    <row r="546" spans="2:20" ht="15.75" customHeight="1">
      <c r="B546" s="5"/>
      <c r="C546" s="5"/>
      <c r="D546" s="5"/>
      <c r="E546" s="5"/>
      <c r="F546" s="5"/>
      <c r="P546" s="33"/>
      <c r="Q546" s="33"/>
      <c r="R546" s="33"/>
      <c r="S546" s="33"/>
      <c r="T546" s="33"/>
    </row>
    <row r="547" spans="2:20" ht="15.75" customHeight="1">
      <c r="B547" s="5"/>
      <c r="C547" s="5"/>
      <c r="D547" s="5"/>
      <c r="E547" s="5"/>
      <c r="F547" s="5"/>
      <c r="P547" s="33"/>
      <c r="Q547" s="33"/>
      <c r="R547" s="33"/>
      <c r="S547" s="33"/>
      <c r="T547" s="33"/>
    </row>
    <row r="548" spans="2:20" ht="15.75" customHeight="1">
      <c r="B548" s="5"/>
      <c r="C548" s="5"/>
      <c r="D548" s="5"/>
      <c r="E548" s="5"/>
      <c r="F548" s="5"/>
      <c r="P548" s="33"/>
      <c r="Q548" s="33"/>
      <c r="R548" s="33"/>
      <c r="S548" s="33"/>
      <c r="T548" s="33"/>
    </row>
    <row r="549" spans="2:20" ht="15.75" customHeight="1">
      <c r="B549" s="5"/>
      <c r="C549" s="5"/>
      <c r="D549" s="5"/>
      <c r="E549" s="5"/>
      <c r="F549" s="5"/>
      <c r="P549" s="33"/>
      <c r="Q549" s="33"/>
      <c r="R549" s="33"/>
      <c r="S549" s="33"/>
      <c r="T549" s="33"/>
    </row>
    <row r="550" spans="2:20" ht="15.75" customHeight="1">
      <c r="B550" s="5"/>
      <c r="C550" s="5"/>
      <c r="D550" s="5"/>
      <c r="E550" s="5"/>
      <c r="F550" s="5"/>
      <c r="P550" s="33"/>
      <c r="Q550" s="33"/>
      <c r="R550" s="33"/>
      <c r="S550" s="33"/>
      <c r="T550" s="33"/>
    </row>
    <row r="551" spans="2:20" ht="15.75" customHeight="1">
      <c r="B551" s="5"/>
      <c r="C551" s="5"/>
      <c r="D551" s="5"/>
      <c r="E551" s="5"/>
      <c r="F551" s="5"/>
      <c r="P551" s="33"/>
      <c r="Q551" s="33"/>
      <c r="R551" s="33"/>
      <c r="S551" s="33"/>
      <c r="T551" s="33"/>
    </row>
    <row r="552" spans="2:20" ht="15.75" customHeight="1">
      <c r="B552" s="5"/>
      <c r="C552" s="5"/>
      <c r="D552" s="5"/>
      <c r="E552" s="5"/>
      <c r="F552" s="5"/>
      <c r="P552" s="33"/>
      <c r="Q552" s="33"/>
      <c r="R552" s="33"/>
      <c r="S552" s="33"/>
      <c r="T552" s="33"/>
    </row>
    <row r="553" spans="2:20" ht="15.75" customHeight="1">
      <c r="B553" s="5"/>
      <c r="C553" s="5"/>
      <c r="D553" s="5"/>
      <c r="E553" s="5"/>
      <c r="F553" s="5"/>
      <c r="P553" s="33"/>
      <c r="Q553" s="33"/>
      <c r="R553" s="33"/>
      <c r="S553" s="33"/>
      <c r="T553" s="33"/>
    </row>
    <row r="554" spans="2:20" ht="15.75" customHeight="1">
      <c r="B554" s="5"/>
      <c r="C554" s="5"/>
      <c r="D554" s="5"/>
      <c r="E554" s="5"/>
      <c r="F554" s="5"/>
      <c r="P554" s="33"/>
      <c r="Q554" s="33"/>
      <c r="R554" s="33"/>
      <c r="S554" s="33"/>
      <c r="T554" s="33"/>
    </row>
    <row r="555" spans="2:20" ht="15.75" customHeight="1">
      <c r="B555" s="5"/>
      <c r="C555" s="5"/>
      <c r="D555" s="5"/>
      <c r="E555" s="5"/>
      <c r="F555" s="5"/>
      <c r="P555" s="33"/>
      <c r="Q555" s="33"/>
      <c r="R555" s="33"/>
      <c r="S555" s="33"/>
      <c r="T555" s="33"/>
    </row>
    <row r="556" spans="2:20" ht="15.75" customHeight="1">
      <c r="B556" s="5"/>
      <c r="C556" s="5"/>
      <c r="D556" s="5"/>
      <c r="E556" s="5"/>
      <c r="F556" s="5"/>
      <c r="P556" s="33"/>
      <c r="Q556" s="33"/>
      <c r="R556" s="33"/>
      <c r="S556" s="33"/>
      <c r="T556" s="33"/>
    </row>
    <row r="557" spans="2:20" ht="15.75" customHeight="1">
      <c r="B557" s="5"/>
      <c r="C557" s="5"/>
      <c r="D557" s="5"/>
      <c r="E557" s="5"/>
      <c r="F557" s="5"/>
      <c r="P557" s="33"/>
      <c r="Q557" s="33"/>
      <c r="R557" s="33"/>
      <c r="S557" s="33"/>
      <c r="T557" s="33"/>
    </row>
    <row r="558" spans="2:20" ht="15.75" customHeight="1">
      <c r="B558" s="5"/>
      <c r="C558" s="5"/>
      <c r="D558" s="5"/>
      <c r="E558" s="5"/>
      <c r="F558" s="5"/>
      <c r="P558" s="33"/>
      <c r="Q558" s="33"/>
      <c r="R558" s="33"/>
      <c r="S558" s="33"/>
      <c r="T558" s="33"/>
    </row>
    <row r="559" spans="2:20" ht="15.75" customHeight="1">
      <c r="B559" s="5"/>
      <c r="C559" s="5"/>
      <c r="D559" s="5"/>
      <c r="E559" s="5"/>
      <c r="F559" s="5"/>
      <c r="P559" s="33"/>
      <c r="Q559" s="33"/>
      <c r="R559" s="33"/>
      <c r="S559" s="33"/>
      <c r="T559" s="33"/>
    </row>
    <row r="560" spans="2:20" ht="15.75" customHeight="1">
      <c r="B560" s="5"/>
      <c r="C560" s="5"/>
      <c r="D560" s="5"/>
      <c r="E560" s="5"/>
      <c r="F560" s="5"/>
      <c r="P560" s="33"/>
      <c r="Q560" s="33"/>
      <c r="R560" s="33"/>
      <c r="S560" s="33"/>
      <c r="T560" s="33"/>
    </row>
    <row r="561" spans="2:20" ht="15.75" customHeight="1">
      <c r="B561" s="5"/>
      <c r="C561" s="5"/>
      <c r="D561" s="5"/>
      <c r="E561" s="5"/>
      <c r="F561" s="5"/>
      <c r="P561" s="33"/>
      <c r="Q561" s="33"/>
      <c r="R561" s="33"/>
      <c r="S561" s="33"/>
      <c r="T561" s="33"/>
    </row>
    <row r="562" spans="2:20" ht="15.75" customHeight="1">
      <c r="B562" s="5"/>
      <c r="C562" s="5"/>
      <c r="D562" s="5"/>
      <c r="E562" s="5"/>
      <c r="F562" s="5"/>
      <c r="P562" s="33"/>
      <c r="Q562" s="33"/>
      <c r="R562" s="33"/>
      <c r="S562" s="33"/>
      <c r="T562" s="33"/>
    </row>
    <row r="563" spans="2:20" ht="15.75" customHeight="1">
      <c r="B563" s="5"/>
      <c r="C563" s="5"/>
      <c r="D563" s="5"/>
      <c r="E563" s="5"/>
      <c r="F563" s="5"/>
      <c r="P563" s="33"/>
      <c r="Q563" s="33"/>
      <c r="R563" s="33"/>
      <c r="S563" s="33"/>
      <c r="T563" s="33"/>
    </row>
    <row r="564" spans="2:20" ht="15.75" customHeight="1">
      <c r="B564" s="5"/>
      <c r="C564" s="5"/>
      <c r="D564" s="5"/>
      <c r="E564" s="5"/>
      <c r="F564" s="5"/>
      <c r="P564" s="33"/>
      <c r="Q564" s="33"/>
      <c r="R564" s="33"/>
      <c r="S564" s="33"/>
      <c r="T564" s="33"/>
    </row>
    <row r="565" spans="2:20" ht="15.75" customHeight="1">
      <c r="B565" s="5"/>
      <c r="C565" s="5"/>
      <c r="D565" s="5"/>
      <c r="E565" s="5"/>
      <c r="F565" s="5"/>
      <c r="P565" s="33"/>
      <c r="Q565" s="33"/>
      <c r="R565" s="33"/>
      <c r="S565" s="33"/>
      <c r="T565" s="33"/>
    </row>
    <row r="566" spans="2:20" ht="15.75" customHeight="1">
      <c r="B566" s="5"/>
      <c r="C566" s="5"/>
      <c r="D566" s="5"/>
      <c r="E566" s="5"/>
      <c r="F566" s="5"/>
      <c r="P566" s="33"/>
      <c r="Q566" s="33"/>
      <c r="R566" s="33"/>
      <c r="S566" s="33"/>
      <c r="T566" s="33"/>
    </row>
    <row r="567" spans="2:20" ht="15.75" customHeight="1">
      <c r="B567" s="5"/>
      <c r="C567" s="5"/>
      <c r="D567" s="5"/>
      <c r="E567" s="5"/>
      <c r="F567" s="5"/>
      <c r="P567" s="33"/>
      <c r="Q567" s="33"/>
      <c r="R567" s="33"/>
      <c r="S567" s="33"/>
      <c r="T567" s="33"/>
    </row>
    <row r="568" spans="2:20" ht="15.75" customHeight="1">
      <c r="B568" s="5"/>
      <c r="C568" s="5"/>
      <c r="D568" s="5"/>
      <c r="E568" s="5"/>
      <c r="F568" s="5"/>
      <c r="P568" s="33"/>
      <c r="Q568" s="33"/>
      <c r="R568" s="33"/>
      <c r="S568" s="33"/>
      <c r="T568" s="33"/>
    </row>
    <row r="569" spans="2:20" ht="15.75" customHeight="1">
      <c r="B569" s="5"/>
      <c r="C569" s="5"/>
      <c r="D569" s="5"/>
      <c r="E569" s="5"/>
      <c r="F569" s="5"/>
      <c r="P569" s="33"/>
      <c r="Q569" s="33"/>
      <c r="R569" s="33"/>
      <c r="S569" s="33"/>
      <c r="T569" s="33"/>
    </row>
    <row r="570" spans="2:20" ht="15.75" customHeight="1">
      <c r="B570" s="5"/>
      <c r="C570" s="5"/>
      <c r="D570" s="5"/>
      <c r="E570" s="5"/>
      <c r="F570" s="5"/>
      <c r="P570" s="33"/>
      <c r="Q570" s="33"/>
      <c r="R570" s="33"/>
      <c r="S570" s="33"/>
      <c r="T570" s="33"/>
    </row>
    <row r="571" spans="2:20" ht="15.75" customHeight="1">
      <c r="B571" s="5"/>
      <c r="C571" s="5"/>
      <c r="D571" s="5"/>
      <c r="E571" s="5"/>
      <c r="F571" s="5"/>
      <c r="P571" s="33"/>
      <c r="Q571" s="33"/>
      <c r="R571" s="33"/>
      <c r="S571" s="33"/>
      <c r="T571" s="33"/>
    </row>
    <row r="572" spans="2:20" ht="15.75" customHeight="1">
      <c r="B572" s="5"/>
      <c r="C572" s="5"/>
      <c r="D572" s="5"/>
      <c r="E572" s="5"/>
      <c r="F572" s="5"/>
      <c r="P572" s="33"/>
      <c r="Q572" s="33"/>
      <c r="R572" s="33"/>
      <c r="S572" s="33"/>
      <c r="T572" s="33"/>
    </row>
    <row r="573" spans="2:20" ht="15.75" customHeight="1">
      <c r="B573" s="5"/>
      <c r="C573" s="5"/>
      <c r="D573" s="5"/>
      <c r="E573" s="5"/>
      <c r="F573" s="5"/>
      <c r="P573" s="33"/>
      <c r="Q573" s="33"/>
      <c r="R573" s="33"/>
      <c r="S573" s="33"/>
      <c r="T573" s="33"/>
    </row>
    <row r="574" spans="2:20" ht="15.75" customHeight="1">
      <c r="B574" s="5"/>
      <c r="C574" s="5"/>
      <c r="D574" s="5"/>
      <c r="E574" s="5"/>
      <c r="F574" s="5"/>
      <c r="P574" s="33"/>
      <c r="Q574" s="33"/>
      <c r="R574" s="33"/>
      <c r="S574" s="33"/>
      <c r="T574" s="33"/>
    </row>
    <row r="575" spans="2:20" ht="15.75" customHeight="1">
      <c r="B575" s="5"/>
      <c r="C575" s="5"/>
      <c r="D575" s="5"/>
      <c r="E575" s="5"/>
      <c r="F575" s="5"/>
      <c r="P575" s="33"/>
      <c r="Q575" s="33"/>
      <c r="R575" s="33"/>
      <c r="S575" s="33"/>
      <c r="T575" s="33"/>
    </row>
    <row r="576" spans="2:20" ht="15.75" customHeight="1">
      <c r="B576" s="5"/>
      <c r="C576" s="5"/>
      <c r="D576" s="5"/>
      <c r="E576" s="5"/>
      <c r="F576" s="5"/>
      <c r="P576" s="33"/>
      <c r="Q576" s="33"/>
      <c r="R576" s="33"/>
      <c r="S576" s="33"/>
      <c r="T576" s="33"/>
    </row>
    <row r="577" spans="2:20" ht="15.75" customHeight="1">
      <c r="B577" s="5"/>
      <c r="C577" s="5"/>
      <c r="D577" s="5"/>
      <c r="E577" s="5"/>
      <c r="F577" s="5"/>
      <c r="P577" s="33"/>
      <c r="Q577" s="33"/>
      <c r="R577" s="33"/>
      <c r="S577" s="33"/>
      <c r="T577" s="33"/>
    </row>
    <row r="578" spans="2:20" ht="15.75" customHeight="1">
      <c r="B578" s="5"/>
      <c r="C578" s="5"/>
      <c r="D578" s="5"/>
      <c r="E578" s="5"/>
      <c r="F578" s="5"/>
      <c r="P578" s="33"/>
      <c r="Q578" s="33"/>
      <c r="R578" s="33"/>
      <c r="S578" s="33"/>
      <c r="T578" s="33"/>
    </row>
    <row r="579" spans="2:20" ht="15.75" customHeight="1">
      <c r="B579" s="5"/>
      <c r="C579" s="5"/>
      <c r="D579" s="5"/>
      <c r="E579" s="5"/>
      <c r="F579" s="5"/>
      <c r="P579" s="33"/>
      <c r="Q579" s="33"/>
      <c r="R579" s="33"/>
      <c r="S579" s="33"/>
      <c r="T579" s="33"/>
    </row>
    <row r="580" spans="2:20" ht="15.75" customHeight="1">
      <c r="B580" s="5"/>
      <c r="C580" s="5"/>
      <c r="D580" s="5"/>
      <c r="E580" s="5"/>
      <c r="F580" s="5"/>
      <c r="P580" s="33"/>
      <c r="Q580" s="33"/>
      <c r="R580" s="33"/>
      <c r="S580" s="33"/>
      <c r="T580" s="33"/>
    </row>
    <row r="581" spans="2:20" ht="15.75" customHeight="1">
      <c r="B581" s="5"/>
      <c r="C581" s="5"/>
      <c r="D581" s="5"/>
      <c r="E581" s="5"/>
      <c r="F581" s="5"/>
      <c r="P581" s="33"/>
      <c r="Q581" s="33"/>
      <c r="R581" s="33"/>
      <c r="S581" s="33"/>
      <c r="T581" s="33"/>
    </row>
    <row r="582" spans="2:20" ht="15.75" customHeight="1">
      <c r="B582" s="5"/>
      <c r="C582" s="5"/>
      <c r="D582" s="5"/>
      <c r="E582" s="5"/>
      <c r="F582" s="5"/>
      <c r="P582" s="33"/>
      <c r="Q582" s="33"/>
      <c r="R582" s="33"/>
      <c r="S582" s="33"/>
      <c r="T582" s="33"/>
    </row>
    <row r="583" spans="2:20" ht="15.75" customHeight="1">
      <c r="B583" s="5"/>
      <c r="C583" s="5"/>
      <c r="D583" s="5"/>
      <c r="E583" s="5"/>
      <c r="F583" s="5"/>
      <c r="P583" s="33"/>
      <c r="Q583" s="33"/>
      <c r="R583" s="33"/>
      <c r="S583" s="33"/>
      <c r="T583" s="33"/>
    </row>
    <row r="584" spans="2:20" ht="15.75" customHeight="1">
      <c r="B584" s="5"/>
      <c r="C584" s="5"/>
      <c r="D584" s="5"/>
      <c r="E584" s="5"/>
      <c r="F584" s="5"/>
      <c r="P584" s="33"/>
      <c r="Q584" s="33"/>
      <c r="R584" s="33"/>
      <c r="S584" s="33"/>
      <c r="T584" s="33"/>
    </row>
    <row r="585" spans="2:20" ht="15.75" customHeight="1">
      <c r="B585" s="5"/>
      <c r="C585" s="5"/>
      <c r="D585" s="5"/>
      <c r="E585" s="5"/>
      <c r="F585" s="5"/>
      <c r="P585" s="33"/>
      <c r="Q585" s="33"/>
      <c r="R585" s="33"/>
      <c r="S585" s="33"/>
      <c r="T585" s="33"/>
    </row>
    <row r="586" spans="2:20" ht="15.75" customHeight="1">
      <c r="B586" s="5"/>
      <c r="C586" s="5"/>
      <c r="D586" s="5"/>
      <c r="E586" s="5"/>
      <c r="F586" s="5"/>
      <c r="P586" s="33"/>
      <c r="Q586" s="33"/>
      <c r="R586" s="33"/>
      <c r="S586" s="33"/>
      <c r="T586" s="33"/>
    </row>
    <row r="587" spans="2:20" ht="15.75" customHeight="1">
      <c r="B587" s="5"/>
      <c r="C587" s="5"/>
      <c r="D587" s="5"/>
      <c r="E587" s="5"/>
      <c r="F587" s="5"/>
      <c r="P587" s="33"/>
      <c r="Q587" s="33"/>
      <c r="R587" s="33"/>
      <c r="S587" s="33"/>
      <c r="T587" s="33"/>
    </row>
    <row r="588" spans="2:20" ht="15.75" customHeight="1">
      <c r="B588" s="5"/>
      <c r="C588" s="5"/>
      <c r="D588" s="5"/>
      <c r="E588" s="5"/>
      <c r="F588" s="5"/>
      <c r="P588" s="33"/>
      <c r="Q588" s="33"/>
      <c r="R588" s="33"/>
      <c r="S588" s="33"/>
      <c r="T588" s="33"/>
    </row>
    <row r="589" spans="2:20" ht="15.75" customHeight="1">
      <c r="B589" s="5"/>
      <c r="C589" s="5"/>
      <c r="D589" s="5"/>
      <c r="E589" s="5"/>
      <c r="F589" s="5"/>
      <c r="P589" s="33"/>
      <c r="Q589" s="33"/>
      <c r="R589" s="33"/>
      <c r="S589" s="33"/>
      <c r="T589" s="33"/>
    </row>
    <row r="590" spans="2:20" ht="15.75" customHeight="1">
      <c r="B590" s="5"/>
      <c r="C590" s="5"/>
      <c r="D590" s="5"/>
      <c r="E590" s="5"/>
      <c r="F590" s="5"/>
      <c r="P590" s="33"/>
      <c r="Q590" s="33"/>
      <c r="R590" s="33"/>
      <c r="S590" s="33"/>
      <c r="T590" s="33"/>
    </row>
    <row r="591" spans="2:20" ht="15.75" customHeight="1">
      <c r="B591" s="5"/>
      <c r="C591" s="5"/>
      <c r="D591" s="5"/>
      <c r="E591" s="5"/>
      <c r="F591" s="5"/>
      <c r="P591" s="33"/>
      <c r="Q591" s="33"/>
      <c r="R591" s="33"/>
      <c r="S591" s="33"/>
      <c r="T591" s="33"/>
    </row>
    <row r="592" spans="2:20" ht="15.75" customHeight="1">
      <c r="B592" s="5"/>
      <c r="C592" s="5"/>
      <c r="D592" s="5"/>
      <c r="E592" s="5"/>
      <c r="F592" s="5"/>
      <c r="P592" s="33"/>
      <c r="Q592" s="33"/>
      <c r="R592" s="33"/>
      <c r="S592" s="33"/>
      <c r="T592" s="33"/>
    </row>
    <row r="593" spans="2:20" ht="15.75" customHeight="1">
      <c r="B593" s="5"/>
      <c r="C593" s="5"/>
      <c r="D593" s="5"/>
      <c r="E593" s="5"/>
      <c r="F593" s="5"/>
      <c r="P593" s="33"/>
      <c r="Q593" s="33"/>
      <c r="R593" s="33"/>
      <c r="S593" s="33"/>
      <c r="T593" s="33"/>
    </row>
    <row r="594" spans="2:20" ht="15.75" customHeight="1">
      <c r="B594" s="5"/>
      <c r="C594" s="5"/>
      <c r="D594" s="5"/>
      <c r="E594" s="5"/>
      <c r="F594" s="5"/>
      <c r="P594" s="33"/>
      <c r="Q594" s="33"/>
      <c r="R594" s="33"/>
      <c r="S594" s="33"/>
      <c r="T594" s="33"/>
    </row>
    <row r="595" spans="2:20" ht="15.75" customHeight="1">
      <c r="B595" s="5"/>
      <c r="C595" s="5"/>
      <c r="D595" s="5"/>
      <c r="E595" s="5"/>
      <c r="F595" s="5"/>
      <c r="P595" s="33"/>
      <c r="Q595" s="33"/>
      <c r="R595" s="33"/>
      <c r="S595" s="33"/>
      <c r="T595" s="33"/>
    </row>
    <row r="596" spans="2:20" ht="15.75" customHeight="1">
      <c r="B596" s="5"/>
      <c r="C596" s="5"/>
      <c r="D596" s="5"/>
      <c r="E596" s="5"/>
      <c r="F596" s="5"/>
      <c r="P596" s="33"/>
      <c r="Q596" s="33"/>
      <c r="R596" s="33"/>
      <c r="S596" s="33"/>
      <c r="T596" s="33"/>
    </row>
    <row r="597" spans="2:20" ht="15.75" customHeight="1">
      <c r="B597" s="5"/>
      <c r="C597" s="5"/>
      <c r="D597" s="5"/>
      <c r="E597" s="5"/>
      <c r="F597" s="5"/>
      <c r="P597" s="33"/>
      <c r="Q597" s="33"/>
      <c r="R597" s="33"/>
      <c r="S597" s="33"/>
      <c r="T597" s="33"/>
    </row>
    <row r="598" spans="2:20" ht="15.75" customHeight="1">
      <c r="B598" s="5"/>
      <c r="C598" s="5"/>
      <c r="D598" s="5"/>
      <c r="E598" s="5"/>
      <c r="F598" s="5"/>
      <c r="P598" s="33"/>
      <c r="Q598" s="33"/>
      <c r="R598" s="33"/>
      <c r="S598" s="33"/>
      <c r="T598" s="33"/>
    </row>
    <row r="599" spans="2:20" ht="15.75" customHeight="1">
      <c r="B599" s="5"/>
      <c r="C599" s="5"/>
      <c r="D599" s="5"/>
      <c r="E599" s="5"/>
      <c r="F599" s="5"/>
      <c r="P599" s="33"/>
      <c r="Q599" s="33"/>
      <c r="R599" s="33"/>
      <c r="S599" s="33"/>
      <c r="T599" s="33"/>
    </row>
    <row r="600" spans="2:20" ht="15.75" customHeight="1">
      <c r="B600" s="5"/>
      <c r="C600" s="5"/>
      <c r="D600" s="5"/>
      <c r="E600" s="5"/>
      <c r="F600" s="5"/>
      <c r="P600" s="33"/>
      <c r="Q600" s="33"/>
      <c r="R600" s="33"/>
      <c r="S600" s="33"/>
      <c r="T600" s="33"/>
    </row>
    <row r="601" spans="2:20" ht="15.75" customHeight="1">
      <c r="B601" s="5"/>
      <c r="C601" s="5"/>
      <c r="D601" s="5"/>
      <c r="E601" s="5"/>
      <c r="F601" s="5"/>
      <c r="P601" s="33"/>
      <c r="Q601" s="33"/>
      <c r="R601" s="33"/>
      <c r="S601" s="33"/>
      <c r="T601" s="33"/>
    </row>
    <row r="602" spans="2:20" ht="15.75" customHeight="1">
      <c r="B602" s="5"/>
      <c r="C602" s="5"/>
      <c r="D602" s="5"/>
      <c r="E602" s="5"/>
      <c r="F602" s="5"/>
      <c r="P602" s="33"/>
      <c r="Q602" s="33"/>
      <c r="R602" s="33"/>
      <c r="S602" s="33"/>
      <c r="T602" s="33"/>
    </row>
    <row r="603" spans="2:20" ht="15.75" customHeight="1">
      <c r="B603" s="5"/>
      <c r="C603" s="5"/>
      <c r="D603" s="5"/>
      <c r="E603" s="5"/>
      <c r="F603" s="5"/>
      <c r="P603" s="33"/>
      <c r="Q603" s="33"/>
      <c r="R603" s="33"/>
      <c r="S603" s="33"/>
      <c r="T603" s="33"/>
    </row>
    <row r="604" spans="2:20" ht="15.75" customHeight="1">
      <c r="B604" s="5"/>
      <c r="C604" s="5"/>
      <c r="D604" s="5"/>
      <c r="E604" s="5"/>
      <c r="F604" s="5"/>
      <c r="P604" s="33"/>
      <c r="Q604" s="33"/>
      <c r="R604" s="33"/>
      <c r="S604" s="33"/>
      <c r="T604" s="33"/>
    </row>
    <row r="605" spans="2:20" ht="15.75" customHeight="1">
      <c r="B605" s="5"/>
      <c r="C605" s="5"/>
      <c r="D605" s="5"/>
      <c r="E605" s="5"/>
      <c r="F605" s="5"/>
      <c r="P605" s="33"/>
      <c r="Q605" s="33"/>
      <c r="R605" s="33"/>
      <c r="S605" s="33"/>
      <c r="T605" s="33"/>
    </row>
    <row r="606" spans="2:20" ht="15.75" customHeight="1">
      <c r="B606" s="5"/>
      <c r="C606" s="5"/>
      <c r="D606" s="5"/>
      <c r="E606" s="5"/>
      <c r="F606" s="5"/>
      <c r="P606" s="33"/>
      <c r="Q606" s="33"/>
      <c r="R606" s="33"/>
      <c r="S606" s="33"/>
      <c r="T606" s="33"/>
    </row>
    <row r="607" spans="2:20" ht="15.75" customHeight="1">
      <c r="B607" s="5"/>
      <c r="C607" s="5"/>
      <c r="D607" s="5"/>
      <c r="E607" s="5"/>
      <c r="F607" s="5"/>
      <c r="P607" s="33"/>
      <c r="Q607" s="33"/>
      <c r="R607" s="33"/>
      <c r="S607" s="33"/>
      <c r="T607" s="33"/>
    </row>
    <row r="608" spans="2:20" ht="15.75" customHeight="1">
      <c r="B608" s="5"/>
      <c r="C608" s="5"/>
      <c r="D608" s="5"/>
      <c r="E608" s="5"/>
      <c r="F608" s="5"/>
      <c r="P608" s="33"/>
      <c r="Q608" s="33"/>
      <c r="R608" s="33"/>
      <c r="S608" s="33"/>
      <c r="T608" s="33"/>
    </row>
    <row r="609" spans="2:20" ht="15.75" customHeight="1">
      <c r="B609" s="5"/>
      <c r="C609" s="5"/>
      <c r="D609" s="5"/>
      <c r="E609" s="5"/>
      <c r="F609" s="5"/>
      <c r="P609" s="33"/>
      <c r="Q609" s="33"/>
      <c r="R609" s="33"/>
      <c r="S609" s="33"/>
      <c r="T609" s="33"/>
    </row>
    <row r="610" spans="2:20" ht="15.75" customHeight="1">
      <c r="B610" s="5"/>
      <c r="C610" s="5"/>
      <c r="D610" s="5"/>
      <c r="E610" s="5"/>
      <c r="F610" s="5"/>
      <c r="P610" s="33"/>
      <c r="Q610" s="33"/>
      <c r="R610" s="33"/>
      <c r="S610" s="33"/>
      <c r="T610" s="33"/>
    </row>
    <row r="611" spans="2:20" ht="15.75" customHeight="1">
      <c r="B611" s="5"/>
      <c r="C611" s="5"/>
      <c r="D611" s="5"/>
      <c r="E611" s="5"/>
      <c r="F611" s="5"/>
      <c r="P611" s="33"/>
      <c r="Q611" s="33"/>
      <c r="R611" s="33"/>
      <c r="S611" s="33"/>
      <c r="T611" s="33"/>
    </row>
    <row r="612" spans="2:20" ht="15.75" customHeight="1">
      <c r="B612" s="5"/>
      <c r="C612" s="5"/>
      <c r="D612" s="5"/>
      <c r="E612" s="5"/>
      <c r="F612" s="5"/>
      <c r="P612" s="33"/>
      <c r="Q612" s="33"/>
      <c r="R612" s="33"/>
      <c r="S612" s="33"/>
      <c r="T612" s="33"/>
    </row>
    <row r="613" spans="2:20" ht="15.75" customHeight="1">
      <c r="B613" s="5"/>
      <c r="C613" s="5"/>
      <c r="D613" s="5"/>
      <c r="E613" s="5"/>
      <c r="F613" s="5"/>
      <c r="P613" s="33"/>
      <c r="Q613" s="33"/>
      <c r="R613" s="33"/>
      <c r="S613" s="33"/>
      <c r="T613" s="33"/>
    </row>
    <row r="614" spans="2:20" ht="15.75" customHeight="1">
      <c r="B614" s="5"/>
      <c r="C614" s="5"/>
      <c r="D614" s="5"/>
      <c r="E614" s="5"/>
      <c r="F614" s="5"/>
      <c r="P614" s="33"/>
      <c r="Q614" s="33"/>
      <c r="R614" s="33"/>
      <c r="S614" s="33"/>
      <c r="T614" s="33"/>
    </row>
    <row r="615" spans="2:20" ht="15.75" customHeight="1">
      <c r="B615" s="5"/>
      <c r="C615" s="5"/>
      <c r="D615" s="5"/>
      <c r="E615" s="5"/>
      <c r="F615" s="5"/>
      <c r="P615" s="33"/>
      <c r="Q615" s="33"/>
      <c r="R615" s="33"/>
      <c r="S615" s="33"/>
      <c r="T615" s="33"/>
    </row>
    <row r="616" spans="2:20" ht="15.75" customHeight="1">
      <c r="B616" s="5"/>
      <c r="C616" s="5"/>
      <c r="D616" s="5"/>
      <c r="E616" s="5"/>
      <c r="F616" s="5"/>
      <c r="P616" s="33"/>
      <c r="Q616" s="33"/>
      <c r="R616" s="33"/>
      <c r="S616" s="33"/>
      <c r="T616" s="33"/>
    </row>
    <row r="617" spans="2:20" ht="15.75" customHeight="1">
      <c r="B617" s="5"/>
      <c r="C617" s="5"/>
      <c r="D617" s="5"/>
      <c r="E617" s="5"/>
      <c r="F617" s="5"/>
      <c r="P617" s="33"/>
      <c r="Q617" s="33"/>
      <c r="R617" s="33"/>
      <c r="S617" s="33"/>
      <c r="T617" s="33"/>
    </row>
    <row r="618" spans="2:20" ht="15.75" customHeight="1">
      <c r="B618" s="5"/>
      <c r="C618" s="5"/>
      <c r="D618" s="5"/>
      <c r="E618" s="5"/>
      <c r="F618" s="5"/>
      <c r="P618" s="33"/>
      <c r="Q618" s="33"/>
      <c r="R618" s="33"/>
      <c r="S618" s="33"/>
      <c r="T618" s="33"/>
    </row>
    <row r="619" spans="2:20" ht="15.75" customHeight="1">
      <c r="B619" s="5"/>
      <c r="C619" s="5"/>
      <c r="D619" s="5"/>
      <c r="E619" s="5"/>
      <c r="F619" s="5"/>
      <c r="P619" s="33"/>
      <c r="Q619" s="33"/>
      <c r="R619" s="33"/>
      <c r="S619" s="33"/>
      <c r="T619" s="33"/>
    </row>
    <row r="620" spans="2:20" ht="15.75" customHeight="1">
      <c r="B620" s="5"/>
      <c r="C620" s="5"/>
      <c r="D620" s="5"/>
      <c r="E620" s="5"/>
      <c r="F620" s="5"/>
      <c r="P620" s="33"/>
      <c r="Q620" s="33"/>
      <c r="R620" s="33"/>
      <c r="S620" s="33"/>
      <c r="T620" s="33"/>
    </row>
    <row r="621" spans="2:20" ht="15.75" customHeight="1">
      <c r="B621" s="5"/>
      <c r="C621" s="5"/>
      <c r="D621" s="5"/>
      <c r="E621" s="5"/>
      <c r="F621" s="5"/>
      <c r="P621" s="33"/>
      <c r="Q621" s="33"/>
      <c r="R621" s="33"/>
      <c r="S621" s="33"/>
      <c r="T621" s="33"/>
    </row>
    <row r="622" spans="2:20" ht="15.75" customHeight="1">
      <c r="B622" s="5"/>
      <c r="C622" s="5"/>
      <c r="D622" s="5"/>
      <c r="E622" s="5"/>
      <c r="F622" s="5"/>
      <c r="P622" s="33"/>
      <c r="Q622" s="33"/>
      <c r="R622" s="33"/>
      <c r="S622" s="33"/>
      <c r="T622" s="33"/>
    </row>
    <row r="623" spans="2:20" ht="15.75" customHeight="1">
      <c r="B623" s="5"/>
      <c r="C623" s="5"/>
      <c r="D623" s="5"/>
      <c r="E623" s="5"/>
      <c r="F623" s="5"/>
      <c r="P623" s="33"/>
      <c r="Q623" s="33"/>
      <c r="R623" s="33"/>
      <c r="S623" s="33"/>
      <c r="T623" s="33"/>
    </row>
    <row r="624" spans="2:20" ht="15.75" customHeight="1">
      <c r="B624" s="5"/>
      <c r="C624" s="5"/>
      <c r="D624" s="5"/>
      <c r="E624" s="5"/>
      <c r="F624" s="5"/>
      <c r="P624" s="33"/>
      <c r="Q624" s="33"/>
      <c r="R624" s="33"/>
      <c r="S624" s="33"/>
      <c r="T624" s="33"/>
    </row>
    <row r="625" spans="2:20" ht="15.75" customHeight="1">
      <c r="B625" s="5"/>
      <c r="C625" s="5"/>
      <c r="D625" s="5"/>
      <c r="E625" s="5"/>
      <c r="F625" s="5"/>
      <c r="P625" s="33"/>
      <c r="Q625" s="33"/>
      <c r="R625" s="33"/>
      <c r="S625" s="33"/>
      <c r="T625" s="33"/>
    </row>
    <row r="626" spans="2:20" ht="15.75" customHeight="1">
      <c r="B626" s="5"/>
      <c r="C626" s="5"/>
      <c r="D626" s="5"/>
      <c r="E626" s="5"/>
      <c r="F626" s="5"/>
      <c r="P626" s="33"/>
      <c r="Q626" s="33"/>
      <c r="R626" s="33"/>
      <c r="S626" s="33"/>
      <c r="T626" s="33"/>
    </row>
    <row r="627" spans="2:20" ht="15.75" customHeight="1">
      <c r="B627" s="5"/>
      <c r="C627" s="5"/>
      <c r="D627" s="5"/>
      <c r="E627" s="5"/>
      <c r="F627" s="5"/>
      <c r="P627" s="33"/>
      <c r="Q627" s="33"/>
      <c r="R627" s="33"/>
      <c r="S627" s="33"/>
      <c r="T627" s="33"/>
    </row>
    <row r="628" spans="2:20" ht="15.75" customHeight="1">
      <c r="B628" s="5"/>
      <c r="C628" s="5"/>
      <c r="D628" s="5"/>
      <c r="E628" s="5"/>
      <c r="F628" s="5"/>
      <c r="P628" s="33"/>
      <c r="Q628" s="33"/>
      <c r="R628" s="33"/>
      <c r="S628" s="33"/>
      <c r="T628" s="33"/>
    </row>
    <row r="629" spans="2:20" ht="15.75" customHeight="1">
      <c r="B629" s="5"/>
      <c r="C629" s="5"/>
      <c r="D629" s="5"/>
      <c r="E629" s="5"/>
      <c r="F629" s="5"/>
      <c r="P629" s="33"/>
      <c r="Q629" s="33"/>
      <c r="R629" s="33"/>
      <c r="S629" s="33"/>
      <c r="T629" s="33"/>
    </row>
    <row r="630" spans="2:20" ht="15.75" customHeight="1">
      <c r="B630" s="5"/>
      <c r="C630" s="5"/>
      <c r="D630" s="5"/>
      <c r="E630" s="5"/>
      <c r="F630" s="5"/>
      <c r="P630" s="33"/>
      <c r="Q630" s="33"/>
      <c r="R630" s="33"/>
      <c r="S630" s="33"/>
      <c r="T630" s="33"/>
    </row>
    <row r="631" spans="2:20" ht="15.75" customHeight="1">
      <c r="B631" s="5"/>
      <c r="C631" s="5"/>
      <c r="D631" s="5"/>
      <c r="E631" s="5"/>
      <c r="F631" s="5"/>
      <c r="P631" s="33"/>
      <c r="Q631" s="33"/>
      <c r="R631" s="33"/>
      <c r="S631" s="33"/>
      <c r="T631" s="33"/>
    </row>
    <row r="632" spans="2:20" ht="15.75" customHeight="1">
      <c r="B632" s="5"/>
      <c r="C632" s="5"/>
      <c r="D632" s="5"/>
      <c r="E632" s="5"/>
      <c r="F632" s="5"/>
      <c r="P632" s="33"/>
      <c r="Q632" s="33"/>
      <c r="R632" s="33"/>
      <c r="S632" s="33"/>
      <c r="T632" s="33"/>
    </row>
    <row r="633" spans="2:20" ht="15.75" customHeight="1">
      <c r="B633" s="5"/>
      <c r="C633" s="5"/>
      <c r="D633" s="5"/>
      <c r="E633" s="5"/>
      <c r="F633" s="5"/>
      <c r="P633" s="33"/>
      <c r="Q633" s="33"/>
      <c r="R633" s="33"/>
      <c r="S633" s="33"/>
      <c r="T633" s="33"/>
    </row>
    <row r="634" spans="2:20" ht="15.75" customHeight="1">
      <c r="B634" s="5"/>
      <c r="C634" s="5"/>
      <c r="D634" s="5"/>
      <c r="E634" s="5"/>
      <c r="F634" s="5"/>
      <c r="P634" s="33"/>
      <c r="Q634" s="33"/>
      <c r="R634" s="33"/>
      <c r="S634" s="33"/>
      <c r="T634" s="33"/>
    </row>
    <row r="635" spans="2:20" ht="15.75" customHeight="1">
      <c r="B635" s="5"/>
      <c r="C635" s="5"/>
      <c r="D635" s="5"/>
      <c r="E635" s="5"/>
      <c r="F635" s="5"/>
      <c r="P635" s="33"/>
      <c r="Q635" s="33"/>
      <c r="R635" s="33"/>
      <c r="S635" s="33"/>
      <c r="T635" s="33"/>
    </row>
    <row r="636" spans="2:20" ht="15.75" customHeight="1">
      <c r="B636" s="5"/>
      <c r="C636" s="5"/>
      <c r="D636" s="5"/>
      <c r="E636" s="5"/>
      <c r="F636" s="5"/>
      <c r="P636" s="33"/>
      <c r="Q636" s="33"/>
      <c r="R636" s="33"/>
      <c r="S636" s="33"/>
      <c r="T636" s="33"/>
    </row>
    <row r="637" spans="2:20" ht="15.75" customHeight="1">
      <c r="B637" s="5"/>
      <c r="C637" s="5"/>
      <c r="D637" s="5"/>
      <c r="E637" s="5"/>
      <c r="F637" s="5"/>
      <c r="P637" s="33"/>
      <c r="Q637" s="33"/>
      <c r="R637" s="33"/>
      <c r="S637" s="33"/>
      <c r="T637" s="33"/>
    </row>
    <row r="638" spans="2:20" ht="15.75" customHeight="1">
      <c r="B638" s="5"/>
      <c r="C638" s="5"/>
      <c r="D638" s="5"/>
      <c r="E638" s="5"/>
      <c r="F638" s="5"/>
      <c r="P638" s="33"/>
      <c r="Q638" s="33"/>
      <c r="R638" s="33"/>
      <c r="S638" s="33"/>
      <c r="T638" s="33"/>
    </row>
    <row r="639" spans="2:20" ht="15.75" customHeight="1">
      <c r="B639" s="5"/>
      <c r="C639" s="5"/>
      <c r="D639" s="5"/>
      <c r="E639" s="5"/>
      <c r="F639" s="5"/>
      <c r="P639" s="33"/>
      <c r="Q639" s="33"/>
      <c r="R639" s="33"/>
      <c r="S639" s="33"/>
      <c r="T639" s="33"/>
    </row>
    <row r="640" spans="2:20" ht="15.75" customHeight="1">
      <c r="B640" s="5"/>
      <c r="C640" s="5"/>
      <c r="D640" s="5"/>
      <c r="E640" s="5"/>
      <c r="F640" s="5"/>
      <c r="P640" s="33"/>
      <c r="Q640" s="33"/>
      <c r="R640" s="33"/>
      <c r="S640" s="33"/>
      <c r="T640" s="33"/>
    </row>
    <row r="641" spans="2:20" ht="15.75" customHeight="1">
      <c r="B641" s="5"/>
      <c r="C641" s="5"/>
      <c r="D641" s="5"/>
      <c r="E641" s="5"/>
      <c r="F641" s="5"/>
      <c r="P641" s="33"/>
      <c r="Q641" s="33"/>
      <c r="R641" s="33"/>
      <c r="S641" s="33"/>
      <c r="T641" s="33"/>
    </row>
    <row r="642" spans="2:20" ht="15.75" customHeight="1">
      <c r="B642" s="5"/>
      <c r="C642" s="5"/>
      <c r="D642" s="5"/>
      <c r="E642" s="5"/>
      <c r="F642" s="5"/>
      <c r="P642" s="33"/>
      <c r="Q642" s="33"/>
      <c r="R642" s="33"/>
      <c r="S642" s="33"/>
      <c r="T642" s="33"/>
    </row>
    <row r="643" spans="2:20" ht="15.75" customHeight="1">
      <c r="B643" s="5"/>
      <c r="C643" s="5"/>
      <c r="D643" s="5"/>
      <c r="E643" s="5"/>
      <c r="F643" s="5"/>
      <c r="P643" s="33"/>
      <c r="Q643" s="33"/>
      <c r="R643" s="33"/>
      <c r="S643" s="33"/>
      <c r="T643" s="33"/>
    </row>
    <row r="644" spans="2:20" ht="15.75" customHeight="1">
      <c r="B644" s="5"/>
      <c r="C644" s="5"/>
      <c r="D644" s="5"/>
      <c r="E644" s="5"/>
      <c r="F644" s="5"/>
      <c r="P644" s="33"/>
      <c r="Q644" s="33"/>
      <c r="R644" s="33"/>
      <c r="S644" s="33"/>
      <c r="T644" s="33"/>
    </row>
    <row r="645" spans="2:20" ht="15.75" customHeight="1">
      <c r="B645" s="5"/>
      <c r="C645" s="5"/>
      <c r="D645" s="5"/>
      <c r="E645" s="5"/>
      <c r="F645" s="5"/>
      <c r="P645" s="33"/>
      <c r="Q645" s="33"/>
      <c r="R645" s="33"/>
      <c r="S645" s="33"/>
      <c r="T645" s="33"/>
    </row>
    <row r="646" spans="2:20" ht="15.75" customHeight="1">
      <c r="B646" s="5"/>
      <c r="C646" s="5"/>
      <c r="D646" s="5"/>
      <c r="E646" s="5"/>
      <c r="F646" s="5"/>
      <c r="P646" s="33"/>
      <c r="Q646" s="33"/>
      <c r="R646" s="33"/>
      <c r="S646" s="33"/>
      <c r="T646" s="33"/>
    </row>
    <row r="647" spans="2:20" ht="15.75" customHeight="1">
      <c r="B647" s="5"/>
      <c r="C647" s="5"/>
      <c r="D647" s="5"/>
      <c r="E647" s="5"/>
      <c r="F647" s="5"/>
      <c r="P647" s="33"/>
      <c r="Q647" s="33"/>
      <c r="R647" s="33"/>
      <c r="S647" s="33"/>
      <c r="T647" s="33"/>
    </row>
    <row r="648" spans="2:20" ht="15.75" customHeight="1">
      <c r="B648" s="5"/>
      <c r="C648" s="5"/>
      <c r="D648" s="5"/>
      <c r="E648" s="5"/>
      <c r="F648" s="5"/>
      <c r="P648" s="33"/>
      <c r="Q648" s="33"/>
      <c r="R648" s="33"/>
      <c r="S648" s="33"/>
      <c r="T648" s="33"/>
    </row>
    <row r="649" spans="2:20" ht="15.75" customHeight="1">
      <c r="B649" s="5"/>
      <c r="C649" s="5"/>
      <c r="D649" s="5"/>
      <c r="E649" s="5"/>
      <c r="F649" s="5"/>
      <c r="P649" s="33"/>
      <c r="Q649" s="33"/>
      <c r="R649" s="33"/>
      <c r="S649" s="33"/>
      <c r="T649" s="33"/>
    </row>
    <row r="650" spans="2:20" ht="15.75" customHeight="1">
      <c r="B650" s="5"/>
      <c r="C650" s="5"/>
      <c r="D650" s="5"/>
      <c r="E650" s="5"/>
      <c r="F650" s="5"/>
      <c r="P650" s="33"/>
      <c r="Q650" s="33"/>
      <c r="R650" s="33"/>
      <c r="S650" s="33"/>
      <c r="T650" s="33"/>
    </row>
    <row r="651" spans="2:20" ht="15.75" customHeight="1">
      <c r="B651" s="5"/>
      <c r="C651" s="5"/>
      <c r="D651" s="5"/>
      <c r="E651" s="5"/>
      <c r="F651" s="5"/>
      <c r="P651" s="33"/>
      <c r="Q651" s="33"/>
      <c r="R651" s="33"/>
      <c r="S651" s="33"/>
      <c r="T651" s="33"/>
    </row>
    <row r="652" spans="2:20" ht="15.75" customHeight="1">
      <c r="B652" s="5"/>
      <c r="C652" s="5"/>
      <c r="D652" s="5"/>
      <c r="E652" s="5"/>
      <c r="F652" s="5"/>
      <c r="P652" s="33"/>
      <c r="Q652" s="33"/>
      <c r="R652" s="33"/>
      <c r="S652" s="33"/>
      <c r="T652" s="33"/>
    </row>
    <row r="653" spans="2:20" ht="15.75" customHeight="1">
      <c r="B653" s="5"/>
      <c r="C653" s="5"/>
      <c r="D653" s="5"/>
      <c r="E653" s="5"/>
      <c r="F653" s="5"/>
      <c r="P653" s="33"/>
      <c r="Q653" s="33"/>
      <c r="R653" s="33"/>
      <c r="S653" s="33"/>
      <c r="T653" s="33"/>
    </row>
    <row r="654" spans="2:20" ht="15.75" customHeight="1">
      <c r="B654" s="5"/>
      <c r="C654" s="5"/>
      <c r="D654" s="5"/>
      <c r="E654" s="5"/>
      <c r="F654" s="5"/>
      <c r="P654" s="33"/>
      <c r="Q654" s="33"/>
      <c r="R654" s="33"/>
      <c r="S654" s="33"/>
      <c r="T654" s="33"/>
    </row>
    <row r="655" spans="2:20" ht="15.75" customHeight="1">
      <c r="B655" s="5"/>
      <c r="C655" s="5"/>
      <c r="D655" s="5"/>
      <c r="E655" s="5"/>
      <c r="F655" s="5"/>
      <c r="P655" s="33"/>
      <c r="Q655" s="33"/>
      <c r="R655" s="33"/>
      <c r="S655" s="33"/>
      <c r="T655" s="33"/>
    </row>
    <row r="656" spans="2:20" ht="15.75" customHeight="1">
      <c r="B656" s="5"/>
      <c r="C656" s="5"/>
      <c r="D656" s="5"/>
      <c r="E656" s="5"/>
      <c r="F656" s="5"/>
      <c r="P656" s="33"/>
      <c r="Q656" s="33"/>
      <c r="R656" s="33"/>
      <c r="S656" s="33"/>
      <c r="T656" s="33"/>
    </row>
    <row r="657" spans="2:20" ht="15.75" customHeight="1">
      <c r="B657" s="5"/>
      <c r="C657" s="5"/>
      <c r="D657" s="5"/>
      <c r="E657" s="5"/>
      <c r="F657" s="5"/>
      <c r="P657" s="33"/>
      <c r="Q657" s="33"/>
      <c r="R657" s="33"/>
      <c r="S657" s="33"/>
      <c r="T657" s="33"/>
    </row>
    <row r="658" spans="2:20" ht="15.75" customHeight="1">
      <c r="B658" s="5"/>
      <c r="C658" s="5"/>
      <c r="D658" s="5"/>
      <c r="E658" s="5"/>
      <c r="F658" s="5"/>
      <c r="P658" s="33"/>
      <c r="Q658" s="33"/>
      <c r="R658" s="33"/>
      <c r="S658" s="33"/>
      <c r="T658" s="33"/>
    </row>
    <row r="659" spans="2:20" ht="15.75" customHeight="1">
      <c r="B659" s="5"/>
      <c r="C659" s="5"/>
      <c r="D659" s="5"/>
      <c r="E659" s="5"/>
      <c r="F659" s="5"/>
      <c r="P659" s="33"/>
      <c r="Q659" s="33"/>
      <c r="R659" s="33"/>
      <c r="S659" s="33"/>
      <c r="T659" s="33"/>
    </row>
    <row r="660" spans="2:20" ht="15.75" customHeight="1">
      <c r="B660" s="5"/>
      <c r="C660" s="5"/>
      <c r="D660" s="5"/>
      <c r="E660" s="5"/>
      <c r="F660" s="5"/>
      <c r="P660" s="33"/>
      <c r="Q660" s="33"/>
      <c r="R660" s="33"/>
      <c r="S660" s="33"/>
      <c r="T660" s="33"/>
    </row>
    <row r="661" spans="2:20" ht="15.75" customHeight="1">
      <c r="B661" s="5"/>
      <c r="C661" s="5"/>
      <c r="D661" s="5"/>
      <c r="E661" s="5"/>
      <c r="F661" s="5"/>
      <c r="P661" s="33"/>
      <c r="Q661" s="33"/>
      <c r="R661" s="33"/>
      <c r="S661" s="33"/>
      <c r="T661" s="33"/>
    </row>
    <row r="662" spans="2:20" ht="15.75" customHeight="1">
      <c r="B662" s="5"/>
      <c r="C662" s="5"/>
      <c r="D662" s="5"/>
      <c r="E662" s="5"/>
      <c r="F662" s="5"/>
      <c r="P662" s="33"/>
      <c r="Q662" s="33"/>
      <c r="R662" s="33"/>
      <c r="S662" s="33"/>
      <c r="T662" s="33"/>
    </row>
    <row r="663" spans="2:20" ht="15.75" customHeight="1">
      <c r="B663" s="5"/>
      <c r="C663" s="5"/>
      <c r="D663" s="5"/>
      <c r="E663" s="5"/>
      <c r="F663" s="5"/>
      <c r="P663" s="33"/>
      <c r="Q663" s="33"/>
      <c r="R663" s="33"/>
      <c r="S663" s="33"/>
      <c r="T663" s="33"/>
    </row>
    <row r="664" spans="2:20" ht="15.75" customHeight="1">
      <c r="B664" s="5"/>
      <c r="C664" s="5"/>
      <c r="D664" s="5"/>
      <c r="E664" s="5"/>
      <c r="F664" s="5"/>
      <c r="P664" s="33"/>
      <c r="Q664" s="33"/>
      <c r="R664" s="33"/>
      <c r="S664" s="33"/>
      <c r="T664" s="33"/>
    </row>
    <row r="665" spans="2:20" ht="15.75" customHeight="1">
      <c r="B665" s="5"/>
      <c r="C665" s="5"/>
      <c r="D665" s="5"/>
      <c r="E665" s="5"/>
      <c r="F665" s="5"/>
      <c r="P665" s="33"/>
      <c r="Q665" s="33"/>
      <c r="R665" s="33"/>
      <c r="S665" s="33"/>
      <c r="T665" s="33"/>
    </row>
    <row r="666" spans="2:20" ht="15.75" customHeight="1">
      <c r="B666" s="5"/>
      <c r="C666" s="5"/>
      <c r="D666" s="5"/>
      <c r="E666" s="5"/>
      <c r="F666" s="5"/>
      <c r="P666" s="33"/>
      <c r="Q666" s="33"/>
      <c r="R666" s="33"/>
      <c r="S666" s="33"/>
      <c r="T666" s="33"/>
    </row>
    <row r="667" spans="2:20" ht="15.75" customHeight="1">
      <c r="B667" s="5"/>
      <c r="C667" s="5"/>
      <c r="D667" s="5"/>
      <c r="E667" s="5"/>
      <c r="F667" s="5"/>
      <c r="P667" s="33"/>
      <c r="Q667" s="33"/>
      <c r="R667" s="33"/>
      <c r="S667" s="33"/>
      <c r="T667" s="33"/>
    </row>
    <row r="668" spans="2:20" ht="15.75" customHeight="1">
      <c r="B668" s="5"/>
      <c r="C668" s="5"/>
      <c r="D668" s="5"/>
      <c r="E668" s="5"/>
      <c r="F668" s="5"/>
      <c r="P668" s="33"/>
      <c r="Q668" s="33"/>
      <c r="R668" s="33"/>
      <c r="S668" s="33"/>
      <c r="T668" s="33"/>
    </row>
    <row r="669" spans="2:20" ht="15.75" customHeight="1">
      <c r="B669" s="5"/>
      <c r="C669" s="5"/>
      <c r="D669" s="5"/>
      <c r="E669" s="5"/>
      <c r="F669" s="5"/>
      <c r="P669" s="33"/>
      <c r="Q669" s="33"/>
      <c r="R669" s="33"/>
      <c r="S669" s="33"/>
      <c r="T669" s="33"/>
    </row>
    <row r="670" spans="2:20" ht="15.75" customHeight="1">
      <c r="B670" s="5"/>
      <c r="C670" s="5"/>
      <c r="D670" s="5"/>
      <c r="E670" s="5"/>
      <c r="F670" s="5"/>
      <c r="P670" s="33"/>
      <c r="Q670" s="33"/>
      <c r="R670" s="33"/>
      <c r="S670" s="33"/>
      <c r="T670" s="33"/>
    </row>
    <row r="671" spans="2:20" ht="15.75" customHeight="1">
      <c r="B671" s="5"/>
      <c r="C671" s="5"/>
      <c r="D671" s="5"/>
      <c r="E671" s="5"/>
      <c r="F671" s="5"/>
      <c r="P671" s="33"/>
      <c r="Q671" s="33"/>
      <c r="R671" s="33"/>
      <c r="S671" s="33"/>
      <c r="T671" s="33"/>
    </row>
    <row r="672" spans="2:20" ht="15.75" customHeight="1">
      <c r="B672" s="5"/>
      <c r="C672" s="5"/>
      <c r="D672" s="5"/>
      <c r="E672" s="5"/>
      <c r="F672" s="5"/>
      <c r="P672" s="33"/>
      <c r="Q672" s="33"/>
      <c r="R672" s="33"/>
      <c r="S672" s="33"/>
      <c r="T672" s="33"/>
    </row>
    <row r="673" spans="2:20" ht="15.75" customHeight="1">
      <c r="B673" s="5"/>
      <c r="C673" s="5"/>
      <c r="D673" s="5"/>
      <c r="E673" s="5"/>
      <c r="F673" s="5"/>
      <c r="P673" s="33"/>
      <c r="Q673" s="33"/>
      <c r="R673" s="33"/>
      <c r="S673" s="33"/>
      <c r="T673" s="33"/>
    </row>
    <row r="674" spans="2:20" ht="15.75" customHeight="1">
      <c r="B674" s="5"/>
      <c r="C674" s="5"/>
      <c r="D674" s="5"/>
      <c r="E674" s="5"/>
      <c r="F674" s="5"/>
      <c r="P674" s="33"/>
      <c r="Q674" s="33"/>
      <c r="R674" s="33"/>
      <c r="S674" s="33"/>
      <c r="T674" s="33"/>
    </row>
    <row r="675" spans="2:20" ht="15.75" customHeight="1">
      <c r="B675" s="5"/>
      <c r="C675" s="5"/>
      <c r="D675" s="5"/>
      <c r="E675" s="5"/>
      <c r="F675" s="5"/>
      <c r="P675" s="33"/>
      <c r="Q675" s="33"/>
      <c r="R675" s="33"/>
      <c r="S675" s="33"/>
      <c r="T675" s="33"/>
    </row>
    <row r="676" spans="2:20" ht="15.75" customHeight="1">
      <c r="B676" s="5"/>
      <c r="C676" s="5"/>
      <c r="D676" s="5"/>
      <c r="E676" s="5"/>
      <c r="F676" s="5"/>
      <c r="P676" s="33"/>
      <c r="Q676" s="33"/>
      <c r="R676" s="33"/>
      <c r="S676" s="33"/>
      <c r="T676" s="33"/>
    </row>
    <row r="677" spans="2:20" ht="15.75" customHeight="1">
      <c r="B677" s="5"/>
      <c r="C677" s="5"/>
      <c r="D677" s="5"/>
      <c r="E677" s="5"/>
      <c r="F677" s="5"/>
      <c r="P677" s="33"/>
      <c r="Q677" s="33"/>
      <c r="R677" s="33"/>
      <c r="S677" s="33"/>
      <c r="T677" s="33"/>
    </row>
    <row r="678" spans="2:20" ht="15.75" customHeight="1">
      <c r="B678" s="5"/>
      <c r="C678" s="5"/>
      <c r="D678" s="5"/>
      <c r="E678" s="5"/>
      <c r="F678" s="5"/>
      <c r="P678" s="33"/>
      <c r="Q678" s="33"/>
      <c r="R678" s="33"/>
      <c r="S678" s="33"/>
      <c r="T678" s="33"/>
    </row>
    <row r="679" spans="2:20" ht="15.75" customHeight="1">
      <c r="B679" s="5"/>
      <c r="C679" s="5"/>
      <c r="D679" s="5"/>
      <c r="E679" s="5"/>
      <c r="F679" s="5"/>
      <c r="P679" s="33"/>
      <c r="Q679" s="33"/>
      <c r="R679" s="33"/>
      <c r="S679" s="33"/>
      <c r="T679" s="33"/>
    </row>
    <row r="680" spans="2:20" ht="15.75" customHeight="1">
      <c r="B680" s="5"/>
      <c r="C680" s="5"/>
      <c r="D680" s="5"/>
      <c r="E680" s="5"/>
      <c r="F680" s="5"/>
      <c r="P680" s="33"/>
      <c r="Q680" s="33"/>
      <c r="R680" s="33"/>
      <c r="S680" s="33"/>
      <c r="T680" s="33"/>
    </row>
    <row r="681" spans="2:20" ht="15.75" customHeight="1">
      <c r="B681" s="5"/>
      <c r="C681" s="5"/>
      <c r="D681" s="5"/>
      <c r="E681" s="5"/>
      <c r="F681" s="5"/>
      <c r="P681" s="33"/>
      <c r="Q681" s="33"/>
      <c r="R681" s="33"/>
      <c r="S681" s="33"/>
      <c r="T681" s="33"/>
    </row>
    <row r="682" spans="2:20" ht="15.75" customHeight="1">
      <c r="B682" s="5"/>
      <c r="C682" s="5"/>
      <c r="D682" s="5"/>
      <c r="E682" s="5"/>
      <c r="F682" s="5"/>
      <c r="P682" s="33"/>
      <c r="Q682" s="33"/>
      <c r="R682" s="33"/>
      <c r="S682" s="33"/>
      <c r="T682" s="33"/>
    </row>
    <row r="683" spans="2:20" ht="15.75" customHeight="1">
      <c r="B683" s="5"/>
      <c r="C683" s="5"/>
      <c r="D683" s="5"/>
      <c r="E683" s="5"/>
      <c r="F683" s="5"/>
      <c r="P683" s="33"/>
      <c r="Q683" s="33"/>
      <c r="R683" s="33"/>
      <c r="S683" s="33"/>
      <c r="T683" s="33"/>
    </row>
    <row r="684" spans="2:20" ht="15.75" customHeight="1">
      <c r="B684" s="5"/>
      <c r="C684" s="5"/>
      <c r="D684" s="5"/>
      <c r="E684" s="5"/>
      <c r="F684" s="5"/>
      <c r="P684" s="33"/>
      <c r="Q684" s="33"/>
      <c r="R684" s="33"/>
      <c r="S684" s="33"/>
      <c r="T684" s="33"/>
    </row>
    <row r="685" spans="2:20" ht="15.75" customHeight="1">
      <c r="B685" s="5"/>
      <c r="C685" s="5"/>
      <c r="D685" s="5"/>
      <c r="E685" s="5"/>
      <c r="F685" s="5"/>
      <c r="P685" s="33"/>
      <c r="Q685" s="33"/>
      <c r="R685" s="33"/>
      <c r="S685" s="33"/>
      <c r="T685" s="33"/>
    </row>
    <row r="686" spans="2:20" ht="15.75" customHeight="1">
      <c r="B686" s="5"/>
      <c r="C686" s="5"/>
      <c r="D686" s="5"/>
      <c r="E686" s="5"/>
      <c r="F686" s="5"/>
      <c r="P686" s="33"/>
      <c r="Q686" s="33"/>
      <c r="R686" s="33"/>
      <c r="S686" s="33"/>
      <c r="T686" s="33"/>
    </row>
    <row r="687" spans="2:20" ht="15.75" customHeight="1">
      <c r="B687" s="5"/>
      <c r="C687" s="5"/>
      <c r="D687" s="5"/>
      <c r="E687" s="5"/>
      <c r="F687" s="5"/>
      <c r="P687" s="33"/>
      <c r="Q687" s="33"/>
      <c r="R687" s="33"/>
      <c r="S687" s="33"/>
      <c r="T687" s="33"/>
    </row>
    <row r="688" spans="2:20" ht="15.75" customHeight="1">
      <c r="B688" s="5"/>
      <c r="C688" s="5"/>
      <c r="D688" s="5"/>
      <c r="E688" s="5"/>
      <c r="F688" s="5"/>
      <c r="P688" s="33"/>
      <c r="Q688" s="33"/>
      <c r="R688" s="33"/>
      <c r="S688" s="33"/>
      <c r="T688" s="33"/>
    </row>
    <row r="689" spans="2:20" ht="15.75" customHeight="1">
      <c r="B689" s="5"/>
      <c r="C689" s="5"/>
      <c r="D689" s="5"/>
      <c r="E689" s="5"/>
      <c r="F689" s="5"/>
      <c r="P689" s="33"/>
      <c r="Q689" s="33"/>
      <c r="R689" s="33"/>
      <c r="S689" s="33"/>
      <c r="T689" s="33"/>
    </row>
    <row r="690" spans="2:20" ht="15.75" customHeight="1">
      <c r="B690" s="5"/>
      <c r="C690" s="5"/>
      <c r="D690" s="5"/>
      <c r="E690" s="5"/>
      <c r="F690" s="5"/>
      <c r="P690" s="33"/>
      <c r="Q690" s="33"/>
      <c r="R690" s="33"/>
      <c r="S690" s="33"/>
      <c r="T690" s="33"/>
    </row>
    <row r="691" spans="2:20" ht="15.75" customHeight="1">
      <c r="B691" s="5"/>
      <c r="C691" s="5"/>
      <c r="D691" s="5"/>
      <c r="E691" s="5"/>
      <c r="F691" s="5"/>
      <c r="P691" s="33"/>
      <c r="Q691" s="33"/>
      <c r="R691" s="33"/>
      <c r="S691" s="33"/>
      <c r="T691" s="33"/>
    </row>
    <row r="692" spans="2:20" ht="15.75" customHeight="1">
      <c r="B692" s="5"/>
      <c r="C692" s="5"/>
      <c r="D692" s="5"/>
      <c r="E692" s="5"/>
      <c r="F692" s="5"/>
      <c r="P692" s="33"/>
      <c r="Q692" s="33"/>
      <c r="R692" s="33"/>
      <c r="S692" s="33"/>
      <c r="T692" s="33"/>
    </row>
    <row r="693" spans="2:20" ht="15.75" customHeight="1">
      <c r="B693" s="5"/>
      <c r="C693" s="5"/>
      <c r="D693" s="5"/>
      <c r="E693" s="5"/>
      <c r="F693" s="5"/>
      <c r="P693" s="33"/>
      <c r="Q693" s="33"/>
      <c r="R693" s="33"/>
      <c r="S693" s="33"/>
      <c r="T693" s="33"/>
    </row>
    <row r="694" spans="2:20" ht="15.75" customHeight="1">
      <c r="B694" s="5"/>
      <c r="C694" s="5"/>
      <c r="D694" s="5"/>
      <c r="E694" s="5"/>
      <c r="F694" s="5"/>
      <c r="P694" s="33"/>
      <c r="Q694" s="33"/>
      <c r="R694" s="33"/>
      <c r="S694" s="33"/>
      <c r="T694" s="33"/>
    </row>
    <row r="695" spans="2:20" ht="15.75" customHeight="1">
      <c r="B695" s="5"/>
      <c r="C695" s="5"/>
      <c r="D695" s="5"/>
      <c r="E695" s="5"/>
      <c r="F695" s="5"/>
      <c r="P695" s="33"/>
      <c r="Q695" s="33"/>
      <c r="R695" s="33"/>
      <c r="S695" s="33"/>
      <c r="T695" s="33"/>
    </row>
    <row r="696" spans="2:20" ht="15.75" customHeight="1">
      <c r="B696" s="5"/>
      <c r="C696" s="5"/>
      <c r="D696" s="5"/>
      <c r="E696" s="5"/>
      <c r="F696" s="5"/>
      <c r="P696" s="33"/>
      <c r="Q696" s="33"/>
      <c r="R696" s="33"/>
      <c r="S696" s="33"/>
      <c r="T696" s="33"/>
    </row>
    <row r="697" spans="2:20" ht="15.75" customHeight="1">
      <c r="B697" s="5"/>
      <c r="C697" s="5"/>
      <c r="D697" s="5"/>
      <c r="E697" s="5"/>
      <c r="F697" s="5"/>
      <c r="P697" s="33"/>
      <c r="Q697" s="33"/>
      <c r="R697" s="33"/>
      <c r="S697" s="33"/>
      <c r="T697" s="33"/>
    </row>
    <row r="698" spans="2:20" ht="15.75" customHeight="1">
      <c r="B698" s="5"/>
      <c r="C698" s="5"/>
      <c r="D698" s="5"/>
      <c r="E698" s="5"/>
      <c r="F698" s="5"/>
      <c r="P698" s="33"/>
      <c r="Q698" s="33"/>
      <c r="R698" s="33"/>
      <c r="S698" s="33"/>
      <c r="T698" s="33"/>
    </row>
    <row r="699" spans="2:20" ht="15.75" customHeight="1">
      <c r="B699" s="5"/>
      <c r="C699" s="5"/>
      <c r="D699" s="5"/>
      <c r="E699" s="5"/>
      <c r="F699" s="5"/>
      <c r="P699" s="33"/>
      <c r="Q699" s="33"/>
      <c r="R699" s="33"/>
      <c r="S699" s="33"/>
      <c r="T699" s="33"/>
    </row>
    <row r="700" spans="2:20" ht="15.75" customHeight="1">
      <c r="B700" s="5"/>
      <c r="C700" s="5"/>
      <c r="D700" s="5"/>
      <c r="E700" s="5"/>
      <c r="F700" s="5"/>
      <c r="P700" s="33"/>
      <c r="Q700" s="33"/>
      <c r="R700" s="33"/>
      <c r="S700" s="33"/>
      <c r="T700" s="33"/>
    </row>
    <row r="701" spans="2:20" ht="15.75" customHeight="1">
      <c r="B701" s="5"/>
      <c r="C701" s="5"/>
      <c r="D701" s="5"/>
      <c r="E701" s="5"/>
      <c r="F701" s="5"/>
      <c r="P701" s="33"/>
      <c r="Q701" s="33"/>
      <c r="R701" s="33"/>
      <c r="S701" s="33"/>
      <c r="T701" s="33"/>
    </row>
    <row r="702" spans="2:20" ht="15.75" customHeight="1">
      <c r="B702" s="5"/>
      <c r="C702" s="5"/>
      <c r="D702" s="5"/>
      <c r="E702" s="5"/>
      <c r="F702" s="5"/>
      <c r="P702" s="33"/>
      <c r="Q702" s="33"/>
      <c r="R702" s="33"/>
      <c r="S702" s="33"/>
      <c r="T702" s="33"/>
    </row>
    <row r="703" spans="2:20" ht="15.75" customHeight="1">
      <c r="B703" s="5"/>
      <c r="C703" s="5"/>
      <c r="D703" s="5"/>
      <c r="E703" s="5"/>
      <c r="F703" s="5"/>
      <c r="P703" s="33"/>
      <c r="Q703" s="33"/>
      <c r="R703" s="33"/>
      <c r="S703" s="33"/>
      <c r="T703" s="33"/>
    </row>
    <row r="704" spans="2:20" ht="15.75" customHeight="1">
      <c r="B704" s="5"/>
      <c r="C704" s="5"/>
      <c r="D704" s="5"/>
      <c r="E704" s="5"/>
      <c r="F704" s="5"/>
      <c r="P704" s="33"/>
      <c r="Q704" s="33"/>
      <c r="R704" s="33"/>
      <c r="S704" s="33"/>
      <c r="T704" s="33"/>
    </row>
    <row r="705" spans="2:20" ht="15.75" customHeight="1">
      <c r="B705" s="5"/>
      <c r="C705" s="5"/>
      <c r="D705" s="5"/>
      <c r="E705" s="5"/>
      <c r="F705" s="5"/>
      <c r="P705" s="33"/>
      <c r="Q705" s="33"/>
      <c r="R705" s="33"/>
      <c r="S705" s="33"/>
      <c r="T705" s="33"/>
    </row>
    <row r="706" spans="2:20" ht="15.75" customHeight="1">
      <c r="B706" s="5"/>
      <c r="C706" s="5"/>
      <c r="D706" s="5"/>
      <c r="E706" s="5"/>
      <c r="F706" s="5"/>
      <c r="P706" s="33"/>
      <c r="Q706" s="33"/>
      <c r="R706" s="33"/>
      <c r="S706" s="33"/>
      <c r="T706" s="33"/>
    </row>
    <row r="707" spans="2:20" ht="15.75" customHeight="1">
      <c r="B707" s="5"/>
      <c r="C707" s="5"/>
      <c r="D707" s="5"/>
      <c r="E707" s="5"/>
      <c r="F707" s="5"/>
      <c r="P707" s="33"/>
      <c r="Q707" s="33"/>
      <c r="R707" s="33"/>
      <c r="S707" s="33"/>
      <c r="T707" s="33"/>
    </row>
    <row r="708" spans="2:20" ht="15.75" customHeight="1">
      <c r="B708" s="5"/>
      <c r="C708" s="5"/>
      <c r="D708" s="5"/>
      <c r="E708" s="5"/>
      <c r="F708" s="5"/>
      <c r="P708" s="33"/>
      <c r="Q708" s="33"/>
      <c r="R708" s="33"/>
      <c r="S708" s="33"/>
      <c r="T708" s="33"/>
    </row>
    <row r="709" spans="2:20" ht="15.75" customHeight="1">
      <c r="B709" s="5"/>
      <c r="C709" s="5"/>
      <c r="D709" s="5"/>
      <c r="E709" s="5"/>
      <c r="F709" s="5"/>
      <c r="P709" s="33"/>
      <c r="Q709" s="33"/>
      <c r="R709" s="33"/>
      <c r="S709" s="33"/>
      <c r="T709" s="33"/>
    </row>
    <row r="710" spans="2:20" ht="15.75" customHeight="1">
      <c r="B710" s="5"/>
      <c r="C710" s="5"/>
      <c r="D710" s="5"/>
      <c r="E710" s="5"/>
      <c r="F710" s="5"/>
      <c r="P710" s="33"/>
      <c r="Q710" s="33"/>
      <c r="R710" s="33"/>
      <c r="S710" s="33"/>
      <c r="T710" s="33"/>
    </row>
    <row r="711" spans="2:20" ht="15.75" customHeight="1">
      <c r="B711" s="5"/>
      <c r="C711" s="5"/>
      <c r="D711" s="5"/>
      <c r="E711" s="5"/>
      <c r="F711" s="5"/>
      <c r="P711" s="33"/>
      <c r="Q711" s="33"/>
      <c r="R711" s="33"/>
      <c r="S711" s="33"/>
      <c r="T711" s="33"/>
    </row>
    <row r="712" spans="2:20" ht="15.75" customHeight="1">
      <c r="B712" s="5"/>
      <c r="C712" s="5"/>
      <c r="D712" s="5"/>
      <c r="E712" s="5"/>
      <c r="F712" s="5"/>
      <c r="P712" s="33"/>
      <c r="Q712" s="33"/>
      <c r="R712" s="33"/>
      <c r="S712" s="33"/>
      <c r="T712" s="33"/>
    </row>
    <row r="713" spans="2:20" ht="15.75" customHeight="1">
      <c r="B713" s="5"/>
      <c r="C713" s="5"/>
      <c r="D713" s="5"/>
      <c r="E713" s="5"/>
      <c r="F713" s="5"/>
      <c r="P713" s="33"/>
      <c r="Q713" s="33"/>
      <c r="R713" s="33"/>
      <c r="S713" s="33"/>
      <c r="T713" s="33"/>
    </row>
    <row r="714" spans="2:20" ht="15.75" customHeight="1">
      <c r="B714" s="5"/>
      <c r="C714" s="5"/>
      <c r="D714" s="5"/>
      <c r="E714" s="5"/>
      <c r="F714" s="5"/>
      <c r="P714" s="33"/>
      <c r="Q714" s="33"/>
      <c r="R714" s="33"/>
      <c r="S714" s="33"/>
      <c r="T714" s="33"/>
    </row>
    <row r="715" spans="2:20" ht="15.75" customHeight="1">
      <c r="B715" s="5"/>
      <c r="C715" s="5"/>
      <c r="D715" s="5"/>
      <c r="E715" s="5"/>
      <c r="F715" s="5"/>
      <c r="P715" s="33"/>
      <c r="Q715" s="33"/>
      <c r="R715" s="33"/>
      <c r="S715" s="33"/>
      <c r="T715" s="33"/>
    </row>
    <row r="716" spans="2:20" ht="15.75" customHeight="1">
      <c r="B716" s="5"/>
      <c r="C716" s="5"/>
      <c r="D716" s="5"/>
      <c r="E716" s="5"/>
      <c r="F716" s="5"/>
      <c r="P716" s="33"/>
      <c r="Q716" s="33"/>
      <c r="R716" s="33"/>
      <c r="S716" s="33"/>
      <c r="T716" s="33"/>
    </row>
    <row r="717" spans="2:20" ht="15.75" customHeight="1">
      <c r="B717" s="5"/>
      <c r="C717" s="5"/>
      <c r="D717" s="5"/>
      <c r="E717" s="5"/>
      <c r="F717" s="5"/>
      <c r="P717" s="33"/>
      <c r="Q717" s="33"/>
      <c r="R717" s="33"/>
      <c r="S717" s="33"/>
      <c r="T717" s="33"/>
    </row>
    <row r="718" spans="2:20" ht="15.75" customHeight="1">
      <c r="B718" s="5"/>
      <c r="C718" s="5"/>
      <c r="D718" s="5"/>
      <c r="E718" s="5"/>
      <c r="F718" s="5"/>
      <c r="P718" s="33"/>
      <c r="Q718" s="33"/>
      <c r="R718" s="33"/>
      <c r="S718" s="33"/>
      <c r="T718" s="33"/>
    </row>
    <row r="719" spans="2:20" ht="15.75" customHeight="1">
      <c r="B719" s="5"/>
      <c r="C719" s="5"/>
      <c r="D719" s="5"/>
      <c r="E719" s="5"/>
      <c r="F719" s="5"/>
      <c r="P719" s="33"/>
      <c r="Q719" s="33"/>
      <c r="R719" s="33"/>
      <c r="S719" s="33"/>
      <c r="T719" s="33"/>
    </row>
    <row r="720" spans="2:20" ht="15.75" customHeight="1">
      <c r="B720" s="5"/>
      <c r="C720" s="5"/>
      <c r="D720" s="5"/>
      <c r="E720" s="5"/>
      <c r="F720" s="5"/>
      <c r="P720" s="33"/>
      <c r="Q720" s="33"/>
      <c r="R720" s="33"/>
      <c r="S720" s="33"/>
      <c r="T720" s="33"/>
    </row>
    <row r="721" spans="2:20" ht="15.75" customHeight="1">
      <c r="B721" s="5"/>
      <c r="C721" s="5"/>
      <c r="D721" s="5"/>
      <c r="E721" s="5"/>
      <c r="F721" s="5"/>
      <c r="P721" s="33"/>
      <c r="Q721" s="33"/>
      <c r="R721" s="33"/>
      <c r="S721" s="33"/>
      <c r="T721" s="33"/>
    </row>
    <row r="722" spans="2:20" ht="15.75" customHeight="1">
      <c r="B722" s="5"/>
      <c r="C722" s="5"/>
      <c r="D722" s="5"/>
      <c r="E722" s="5"/>
      <c r="F722" s="5"/>
      <c r="P722" s="33"/>
      <c r="Q722" s="33"/>
      <c r="R722" s="33"/>
      <c r="S722" s="33"/>
      <c r="T722" s="33"/>
    </row>
    <row r="723" spans="2:20" ht="15.75" customHeight="1">
      <c r="B723" s="5"/>
      <c r="C723" s="5"/>
      <c r="D723" s="5"/>
      <c r="E723" s="5"/>
      <c r="F723" s="5"/>
      <c r="P723" s="33"/>
      <c r="Q723" s="33"/>
      <c r="R723" s="33"/>
      <c r="S723" s="33"/>
      <c r="T723" s="33"/>
    </row>
    <row r="724" spans="2:20" ht="15.75" customHeight="1">
      <c r="B724" s="5"/>
      <c r="C724" s="5"/>
      <c r="D724" s="5"/>
      <c r="E724" s="5"/>
      <c r="F724" s="5"/>
      <c r="P724" s="33"/>
      <c r="Q724" s="33"/>
      <c r="R724" s="33"/>
      <c r="S724" s="33"/>
      <c r="T724" s="33"/>
    </row>
    <row r="725" spans="2:20" ht="15.75" customHeight="1">
      <c r="B725" s="5"/>
      <c r="C725" s="5"/>
      <c r="D725" s="5"/>
      <c r="E725" s="5"/>
      <c r="F725" s="5"/>
      <c r="P725" s="33"/>
      <c r="Q725" s="33"/>
      <c r="R725" s="33"/>
      <c r="S725" s="33"/>
      <c r="T725" s="33"/>
    </row>
    <row r="726" spans="2:20" ht="15.75" customHeight="1">
      <c r="B726" s="5"/>
      <c r="C726" s="5"/>
      <c r="D726" s="5"/>
      <c r="E726" s="5"/>
      <c r="F726" s="5"/>
      <c r="P726" s="33"/>
      <c r="Q726" s="33"/>
      <c r="R726" s="33"/>
      <c r="S726" s="33"/>
      <c r="T726" s="33"/>
    </row>
    <row r="727" spans="2:20" ht="15.75" customHeight="1">
      <c r="B727" s="5"/>
      <c r="C727" s="5"/>
      <c r="D727" s="5"/>
      <c r="E727" s="5"/>
      <c r="F727" s="5"/>
      <c r="P727" s="33"/>
      <c r="Q727" s="33"/>
      <c r="R727" s="33"/>
      <c r="S727" s="33"/>
      <c r="T727" s="33"/>
    </row>
    <row r="728" spans="2:20" ht="15.75" customHeight="1">
      <c r="B728" s="5"/>
      <c r="C728" s="5"/>
      <c r="D728" s="5"/>
      <c r="E728" s="5"/>
      <c r="F728" s="5"/>
      <c r="P728" s="33"/>
      <c r="Q728" s="33"/>
      <c r="R728" s="33"/>
      <c r="S728" s="33"/>
      <c r="T728" s="33"/>
    </row>
    <row r="729" spans="2:20" ht="15.75" customHeight="1">
      <c r="B729" s="5"/>
      <c r="C729" s="5"/>
      <c r="D729" s="5"/>
      <c r="E729" s="5"/>
      <c r="F729" s="5"/>
      <c r="P729" s="33"/>
      <c r="Q729" s="33"/>
      <c r="R729" s="33"/>
      <c r="S729" s="33"/>
      <c r="T729" s="33"/>
    </row>
    <row r="730" spans="2:20" ht="15.75" customHeight="1">
      <c r="B730" s="5"/>
      <c r="C730" s="5"/>
      <c r="D730" s="5"/>
      <c r="E730" s="5"/>
      <c r="F730" s="5"/>
      <c r="P730" s="33"/>
      <c r="Q730" s="33"/>
      <c r="R730" s="33"/>
      <c r="S730" s="33"/>
      <c r="T730" s="33"/>
    </row>
    <row r="731" spans="2:20" ht="15.75" customHeight="1">
      <c r="B731" s="5"/>
      <c r="C731" s="5"/>
      <c r="D731" s="5"/>
      <c r="E731" s="5"/>
      <c r="F731" s="5"/>
      <c r="P731" s="33"/>
      <c r="Q731" s="33"/>
      <c r="R731" s="33"/>
      <c r="S731" s="33"/>
      <c r="T731" s="33"/>
    </row>
    <row r="732" spans="2:20" ht="15.75" customHeight="1">
      <c r="B732" s="5"/>
      <c r="C732" s="5"/>
      <c r="D732" s="5"/>
      <c r="E732" s="5"/>
      <c r="F732" s="5"/>
      <c r="P732" s="33"/>
      <c r="Q732" s="33"/>
      <c r="R732" s="33"/>
      <c r="S732" s="33"/>
      <c r="T732" s="33"/>
    </row>
    <row r="733" spans="2:20" ht="15.75" customHeight="1">
      <c r="B733" s="5"/>
      <c r="C733" s="5"/>
      <c r="D733" s="5"/>
      <c r="E733" s="5"/>
      <c r="F733" s="5"/>
      <c r="P733" s="33"/>
      <c r="Q733" s="33"/>
      <c r="R733" s="33"/>
      <c r="S733" s="33"/>
      <c r="T733" s="33"/>
    </row>
    <row r="734" spans="2:20" ht="15.75" customHeight="1">
      <c r="B734" s="5"/>
      <c r="C734" s="5"/>
      <c r="D734" s="5"/>
      <c r="E734" s="5"/>
      <c r="F734" s="5"/>
      <c r="P734" s="33"/>
      <c r="Q734" s="33"/>
      <c r="R734" s="33"/>
      <c r="S734" s="33"/>
      <c r="T734" s="33"/>
    </row>
    <row r="735" spans="2:20" ht="15.75" customHeight="1">
      <c r="B735" s="5"/>
      <c r="C735" s="5"/>
      <c r="D735" s="5"/>
      <c r="E735" s="5"/>
      <c r="F735" s="5"/>
      <c r="P735" s="33"/>
      <c r="Q735" s="33"/>
      <c r="R735" s="33"/>
      <c r="S735" s="33"/>
      <c r="T735" s="33"/>
    </row>
    <row r="736" spans="2:20" ht="15.75" customHeight="1">
      <c r="B736" s="5"/>
      <c r="C736" s="5"/>
      <c r="D736" s="5"/>
      <c r="E736" s="5"/>
      <c r="F736" s="5"/>
      <c r="P736" s="33"/>
      <c r="Q736" s="33"/>
      <c r="R736" s="33"/>
      <c r="S736" s="33"/>
      <c r="T736" s="33"/>
    </row>
    <row r="737" spans="2:20" ht="15.75" customHeight="1">
      <c r="B737" s="5"/>
      <c r="C737" s="5"/>
      <c r="D737" s="5"/>
      <c r="E737" s="5"/>
      <c r="F737" s="5"/>
      <c r="P737" s="33"/>
      <c r="Q737" s="33"/>
      <c r="R737" s="33"/>
      <c r="S737" s="33"/>
      <c r="T737" s="33"/>
    </row>
    <row r="738" spans="2:20" ht="15.75" customHeight="1">
      <c r="B738" s="5"/>
      <c r="C738" s="5"/>
      <c r="D738" s="5"/>
      <c r="E738" s="5"/>
      <c r="F738" s="5"/>
      <c r="P738" s="33"/>
      <c r="Q738" s="33"/>
      <c r="R738" s="33"/>
      <c r="S738" s="33"/>
      <c r="T738" s="33"/>
    </row>
    <row r="739" spans="2:20" ht="15.75" customHeight="1">
      <c r="B739" s="5"/>
      <c r="C739" s="5"/>
      <c r="D739" s="5"/>
      <c r="E739" s="5"/>
      <c r="F739" s="5"/>
      <c r="P739" s="33"/>
      <c r="Q739" s="33"/>
      <c r="R739" s="33"/>
      <c r="S739" s="33"/>
      <c r="T739" s="33"/>
    </row>
    <row r="740" spans="2:20" ht="15.75" customHeight="1">
      <c r="B740" s="5"/>
      <c r="C740" s="5"/>
      <c r="D740" s="5"/>
      <c r="E740" s="5"/>
      <c r="F740" s="5"/>
      <c r="P740" s="33"/>
      <c r="Q740" s="33"/>
      <c r="R740" s="33"/>
      <c r="S740" s="33"/>
      <c r="T740" s="33"/>
    </row>
    <row r="741" spans="2:20" ht="15.75" customHeight="1">
      <c r="B741" s="5"/>
      <c r="C741" s="5"/>
      <c r="D741" s="5"/>
      <c r="E741" s="5"/>
      <c r="F741" s="5"/>
      <c r="P741" s="33"/>
      <c r="Q741" s="33"/>
      <c r="R741" s="33"/>
      <c r="S741" s="33"/>
      <c r="T741" s="33"/>
    </row>
    <row r="742" spans="2:20" ht="15.75" customHeight="1">
      <c r="B742" s="5"/>
      <c r="C742" s="5"/>
      <c r="D742" s="5"/>
      <c r="E742" s="5"/>
      <c r="F742" s="5"/>
      <c r="P742" s="33"/>
      <c r="Q742" s="33"/>
      <c r="R742" s="33"/>
      <c r="S742" s="33"/>
      <c r="T742" s="33"/>
    </row>
    <row r="743" spans="2:20" ht="15.75" customHeight="1">
      <c r="B743" s="5"/>
      <c r="C743" s="5"/>
      <c r="D743" s="5"/>
      <c r="E743" s="5"/>
      <c r="F743" s="5"/>
      <c r="P743" s="33"/>
      <c r="Q743" s="33"/>
      <c r="R743" s="33"/>
      <c r="S743" s="33"/>
      <c r="T743" s="33"/>
    </row>
    <row r="744" spans="2:20" ht="15.75" customHeight="1">
      <c r="B744" s="5"/>
      <c r="C744" s="5"/>
      <c r="D744" s="5"/>
      <c r="E744" s="5"/>
      <c r="F744" s="5"/>
      <c r="P744" s="33"/>
      <c r="Q744" s="33"/>
      <c r="R744" s="33"/>
      <c r="S744" s="33"/>
      <c r="T744" s="33"/>
    </row>
    <row r="745" spans="2:20" ht="15.75" customHeight="1">
      <c r="B745" s="5"/>
      <c r="C745" s="5"/>
      <c r="D745" s="5"/>
      <c r="E745" s="5"/>
      <c r="F745" s="5"/>
      <c r="P745" s="33"/>
      <c r="Q745" s="33"/>
      <c r="R745" s="33"/>
      <c r="S745" s="33"/>
      <c r="T745" s="33"/>
    </row>
    <row r="746" spans="2:20" ht="15.75" customHeight="1">
      <c r="B746" s="5"/>
      <c r="C746" s="5"/>
      <c r="D746" s="5"/>
      <c r="E746" s="5"/>
      <c r="F746" s="5"/>
      <c r="P746" s="33"/>
      <c r="Q746" s="33"/>
      <c r="R746" s="33"/>
      <c r="S746" s="33"/>
      <c r="T746" s="33"/>
    </row>
    <row r="747" spans="2:20" ht="15.75" customHeight="1">
      <c r="B747" s="5"/>
      <c r="C747" s="5"/>
      <c r="D747" s="5"/>
      <c r="E747" s="5"/>
      <c r="F747" s="5"/>
      <c r="P747" s="33"/>
      <c r="Q747" s="33"/>
      <c r="R747" s="33"/>
      <c r="S747" s="33"/>
      <c r="T747" s="33"/>
    </row>
    <row r="748" spans="2:20" ht="15.75" customHeight="1">
      <c r="B748" s="5"/>
      <c r="C748" s="5"/>
      <c r="D748" s="5"/>
      <c r="E748" s="5"/>
      <c r="F748" s="5"/>
      <c r="P748" s="33"/>
      <c r="Q748" s="33"/>
      <c r="R748" s="33"/>
      <c r="S748" s="33"/>
      <c r="T748" s="33"/>
    </row>
    <row r="749" spans="2:20" ht="15.75" customHeight="1">
      <c r="B749" s="5"/>
      <c r="C749" s="5"/>
      <c r="D749" s="5"/>
      <c r="E749" s="5"/>
      <c r="F749" s="5"/>
      <c r="P749" s="33"/>
      <c r="Q749" s="33"/>
      <c r="R749" s="33"/>
      <c r="S749" s="33"/>
      <c r="T749" s="33"/>
    </row>
    <row r="750" spans="2:20" ht="15.75" customHeight="1">
      <c r="B750" s="5"/>
      <c r="C750" s="5"/>
      <c r="D750" s="5"/>
      <c r="E750" s="5"/>
      <c r="F750" s="5"/>
      <c r="P750" s="33"/>
      <c r="Q750" s="33"/>
      <c r="R750" s="33"/>
      <c r="S750" s="33"/>
      <c r="T750" s="33"/>
    </row>
    <row r="751" spans="2:20" ht="15.75" customHeight="1">
      <c r="B751" s="5"/>
      <c r="C751" s="5"/>
      <c r="D751" s="5"/>
      <c r="E751" s="5"/>
      <c r="F751" s="5"/>
      <c r="P751" s="33"/>
      <c r="Q751" s="33"/>
      <c r="R751" s="33"/>
      <c r="S751" s="33"/>
      <c r="T751" s="33"/>
    </row>
    <row r="752" spans="2:20" ht="15.75" customHeight="1">
      <c r="B752" s="5"/>
      <c r="C752" s="5"/>
      <c r="D752" s="5"/>
      <c r="E752" s="5"/>
      <c r="F752" s="5"/>
      <c r="P752" s="33"/>
      <c r="Q752" s="33"/>
      <c r="R752" s="33"/>
      <c r="S752" s="33"/>
      <c r="T752" s="33"/>
    </row>
    <row r="753" spans="2:20" ht="15.75" customHeight="1">
      <c r="B753" s="5"/>
      <c r="C753" s="5"/>
      <c r="D753" s="5"/>
      <c r="E753" s="5"/>
      <c r="F753" s="5"/>
      <c r="P753" s="33"/>
      <c r="Q753" s="33"/>
      <c r="R753" s="33"/>
      <c r="S753" s="33"/>
      <c r="T753" s="33"/>
    </row>
    <row r="754" spans="2:20" ht="15.75" customHeight="1">
      <c r="B754" s="5"/>
      <c r="C754" s="5"/>
      <c r="D754" s="5"/>
      <c r="E754" s="5"/>
      <c r="F754" s="5"/>
      <c r="P754" s="33"/>
      <c r="Q754" s="33"/>
      <c r="R754" s="33"/>
      <c r="S754" s="33"/>
      <c r="T754" s="33"/>
    </row>
    <row r="755" spans="2:20" ht="15.75" customHeight="1">
      <c r="B755" s="5"/>
      <c r="C755" s="5"/>
      <c r="D755" s="5"/>
      <c r="E755" s="5"/>
      <c r="F755" s="5"/>
      <c r="P755" s="33"/>
      <c r="Q755" s="33"/>
      <c r="R755" s="33"/>
      <c r="S755" s="33"/>
      <c r="T755" s="33"/>
    </row>
    <row r="756" spans="2:20" ht="15.75" customHeight="1">
      <c r="B756" s="5"/>
      <c r="C756" s="5"/>
      <c r="D756" s="5"/>
      <c r="E756" s="5"/>
      <c r="F756" s="5"/>
      <c r="P756" s="33"/>
      <c r="Q756" s="33"/>
      <c r="R756" s="33"/>
      <c r="S756" s="33"/>
      <c r="T756" s="33"/>
    </row>
    <row r="757" spans="2:20" ht="15.75" customHeight="1">
      <c r="B757" s="5"/>
      <c r="C757" s="5"/>
      <c r="D757" s="5"/>
      <c r="E757" s="5"/>
      <c r="F757" s="5"/>
      <c r="P757" s="33"/>
      <c r="Q757" s="33"/>
      <c r="R757" s="33"/>
      <c r="S757" s="33"/>
      <c r="T757" s="33"/>
    </row>
    <row r="758" spans="2:20" ht="15.75" customHeight="1">
      <c r="B758" s="5"/>
      <c r="C758" s="5"/>
      <c r="D758" s="5"/>
      <c r="E758" s="5"/>
      <c r="F758" s="5"/>
      <c r="P758" s="33"/>
      <c r="Q758" s="33"/>
      <c r="R758" s="33"/>
      <c r="S758" s="33"/>
      <c r="T758" s="33"/>
    </row>
    <row r="759" spans="2:20" ht="15.75" customHeight="1">
      <c r="B759" s="5"/>
      <c r="C759" s="5"/>
      <c r="D759" s="5"/>
      <c r="E759" s="5"/>
      <c r="F759" s="5"/>
      <c r="P759" s="33"/>
      <c r="Q759" s="33"/>
      <c r="R759" s="33"/>
      <c r="S759" s="33"/>
      <c r="T759" s="33"/>
    </row>
    <row r="760" spans="2:20" ht="15.75" customHeight="1">
      <c r="B760" s="5"/>
      <c r="C760" s="5"/>
      <c r="D760" s="5"/>
      <c r="E760" s="5"/>
      <c r="F760" s="5"/>
      <c r="P760" s="33"/>
      <c r="Q760" s="33"/>
      <c r="R760" s="33"/>
      <c r="S760" s="33"/>
      <c r="T760" s="33"/>
    </row>
    <row r="761" spans="2:20" ht="15.75" customHeight="1">
      <c r="B761" s="5"/>
      <c r="C761" s="5"/>
      <c r="D761" s="5"/>
      <c r="E761" s="5"/>
      <c r="F761" s="5"/>
      <c r="P761" s="33"/>
      <c r="Q761" s="33"/>
      <c r="R761" s="33"/>
      <c r="S761" s="33"/>
      <c r="T761" s="33"/>
    </row>
    <row r="762" spans="2:20" ht="15.75" customHeight="1">
      <c r="B762" s="5"/>
      <c r="C762" s="5"/>
      <c r="D762" s="5"/>
      <c r="E762" s="5"/>
      <c r="F762" s="5"/>
      <c r="P762" s="33"/>
      <c r="Q762" s="33"/>
      <c r="R762" s="33"/>
      <c r="S762" s="33"/>
      <c r="T762" s="33"/>
    </row>
    <row r="763" spans="2:20" ht="15.75" customHeight="1">
      <c r="B763" s="5"/>
      <c r="C763" s="5"/>
      <c r="D763" s="5"/>
      <c r="E763" s="5"/>
      <c r="F763" s="5"/>
      <c r="P763" s="33"/>
      <c r="Q763" s="33"/>
      <c r="R763" s="33"/>
      <c r="S763" s="33"/>
      <c r="T763" s="33"/>
    </row>
    <row r="764" spans="2:20" ht="15.75" customHeight="1">
      <c r="B764" s="5"/>
      <c r="C764" s="5"/>
      <c r="D764" s="5"/>
      <c r="E764" s="5"/>
      <c r="F764" s="5"/>
      <c r="P764" s="33"/>
      <c r="Q764" s="33"/>
      <c r="R764" s="33"/>
      <c r="S764" s="33"/>
      <c r="T764" s="33"/>
    </row>
    <row r="765" spans="2:20" ht="15.75" customHeight="1">
      <c r="B765" s="5"/>
      <c r="C765" s="5"/>
      <c r="D765" s="5"/>
      <c r="E765" s="5"/>
      <c r="F765" s="5"/>
      <c r="P765" s="33"/>
      <c r="Q765" s="33"/>
      <c r="R765" s="33"/>
      <c r="S765" s="33"/>
      <c r="T765" s="33"/>
    </row>
    <row r="766" spans="2:20" ht="15.75" customHeight="1">
      <c r="B766" s="5"/>
      <c r="C766" s="5"/>
      <c r="D766" s="5"/>
      <c r="E766" s="5"/>
      <c r="F766" s="5"/>
      <c r="P766" s="33"/>
      <c r="Q766" s="33"/>
      <c r="R766" s="33"/>
      <c r="S766" s="33"/>
      <c r="T766" s="33"/>
    </row>
    <row r="767" spans="2:20" ht="15.75" customHeight="1">
      <c r="B767" s="5"/>
      <c r="C767" s="5"/>
      <c r="D767" s="5"/>
      <c r="E767" s="5"/>
      <c r="F767" s="5"/>
      <c r="P767" s="33"/>
      <c r="Q767" s="33"/>
      <c r="R767" s="33"/>
      <c r="S767" s="33"/>
      <c r="T767" s="33"/>
    </row>
    <row r="768" spans="2:20" ht="15.75" customHeight="1">
      <c r="B768" s="5"/>
      <c r="C768" s="5"/>
      <c r="D768" s="5"/>
      <c r="E768" s="5"/>
      <c r="F768" s="5"/>
      <c r="P768" s="33"/>
      <c r="Q768" s="33"/>
      <c r="R768" s="33"/>
      <c r="S768" s="33"/>
      <c r="T768" s="33"/>
    </row>
    <row r="769" spans="2:20" ht="15.75" customHeight="1">
      <c r="B769" s="5"/>
      <c r="C769" s="5"/>
      <c r="D769" s="5"/>
      <c r="E769" s="5"/>
      <c r="F769" s="5"/>
      <c r="P769" s="33"/>
      <c r="Q769" s="33"/>
      <c r="R769" s="33"/>
      <c r="S769" s="33"/>
      <c r="T769" s="33"/>
    </row>
    <row r="770" spans="2:20" ht="15.75" customHeight="1">
      <c r="B770" s="5"/>
      <c r="C770" s="5"/>
      <c r="D770" s="5"/>
      <c r="E770" s="5"/>
      <c r="F770" s="5"/>
      <c r="P770" s="33"/>
      <c r="Q770" s="33"/>
      <c r="R770" s="33"/>
      <c r="S770" s="33"/>
      <c r="T770" s="33"/>
    </row>
    <row r="771" spans="2:20" ht="15.75" customHeight="1">
      <c r="B771" s="5"/>
      <c r="C771" s="5"/>
      <c r="D771" s="5"/>
      <c r="E771" s="5"/>
      <c r="F771" s="5"/>
      <c r="P771" s="33"/>
      <c r="Q771" s="33"/>
      <c r="R771" s="33"/>
      <c r="S771" s="33"/>
      <c r="T771" s="33"/>
    </row>
    <row r="772" spans="2:20" ht="15.75" customHeight="1">
      <c r="B772" s="5"/>
      <c r="C772" s="5"/>
      <c r="D772" s="5"/>
      <c r="E772" s="5"/>
      <c r="F772" s="5"/>
      <c r="P772" s="33"/>
      <c r="Q772" s="33"/>
      <c r="R772" s="33"/>
      <c r="S772" s="33"/>
      <c r="T772" s="33"/>
    </row>
    <row r="773" spans="2:20" ht="15.75" customHeight="1">
      <c r="B773" s="5"/>
      <c r="C773" s="5"/>
      <c r="D773" s="5"/>
      <c r="E773" s="5"/>
      <c r="F773" s="5"/>
      <c r="P773" s="33"/>
      <c r="Q773" s="33"/>
      <c r="R773" s="33"/>
      <c r="S773" s="33"/>
      <c r="T773" s="33"/>
    </row>
    <row r="774" spans="2:20" ht="15.75" customHeight="1">
      <c r="B774" s="5"/>
      <c r="C774" s="5"/>
      <c r="D774" s="5"/>
      <c r="E774" s="5"/>
      <c r="F774" s="5"/>
      <c r="P774" s="33"/>
      <c r="Q774" s="33"/>
      <c r="R774" s="33"/>
      <c r="S774" s="33"/>
      <c r="T774" s="33"/>
    </row>
    <row r="775" spans="2:20" ht="15.75" customHeight="1">
      <c r="B775" s="5"/>
      <c r="C775" s="5"/>
      <c r="D775" s="5"/>
      <c r="E775" s="5"/>
      <c r="F775" s="5"/>
      <c r="P775" s="33"/>
      <c r="Q775" s="33"/>
      <c r="R775" s="33"/>
      <c r="S775" s="33"/>
      <c r="T775" s="33"/>
    </row>
    <row r="776" spans="2:20" ht="15.75" customHeight="1">
      <c r="B776" s="5"/>
      <c r="C776" s="5"/>
      <c r="D776" s="5"/>
      <c r="E776" s="5"/>
      <c r="F776" s="5"/>
      <c r="P776" s="33"/>
      <c r="Q776" s="33"/>
      <c r="R776" s="33"/>
      <c r="S776" s="33"/>
      <c r="T776" s="33"/>
    </row>
    <row r="777" spans="2:20" ht="15.75" customHeight="1">
      <c r="B777" s="5"/>
      <c r="C777" s="5"/>
      <c r="D777" s="5"/>
      <c r="E777" s="5"/>
      <c r="F777" s="5"/>
      <c r="P777" s="33"/>
      <c r="Q777" s="33"/>
      <c r="R777" s="33"/>
      <c r="S777" s="33"/>
      <c r="T777" s="33"/>
    </row>
    <row r="778" spans="2:20" ht="15.75" customHeight="1">
      <c r="B778" s="5"/>
      <c r="C778" s="5"/>
      <c r="D778" s="5"/>
      <c r="E778" s="5"/>
      <c r="F778" s="5"/>
      <c r="P778" s="33"/>
      <c r="Q778" s="33"/>
      <c r="R778" s="33"/>
      <c r="S778" s="33"/>
      <c r="T778" s="33"/>
    </row>
    <row r="779" spans="2:20" ht="15.75" customHeight="1">
      <c r="B779" s="5"/>
      <c r="C779" s="5"/>
      <c r="D779" s="5"/>
      <c r="E779" s="5"/>
      <c r="F779" s="5"/>
      <c r="P779" s="33"/>
      <c r="Q779" s="33"/>
      <c r="R779" s="33"/>
      <c r="S779" s="33"/>
      <c r="T779" s="33"/>
    </row>
    <row r="780" spans="2:20" ht="15.75" customHeight="1">
      <c r="B780" s="5"/>
      <c r="C780" s="5"/>
      <c r="D780" s="5"/>
      <c r="E780" s="5"/>
      <c r="F780" s="5"/>
      <c r="P780" s="33"/>
      <c r="Q780" s="33"/>
      <c r="R780" s="33"/>
      <c r="S780" s="33"/>
      <c r="T780" s="33"/>
    </row>
    <row r="781" spans="2:20" ht="15.75" customHeight="1">
      <c r="B781" s="5"/>
      <c r="C781" s="5"/>
      <c r="D781" s="5"/>
      <c r="E781" s="5"/>
      <c r="F781" s="5"/>
      <c r="P781" s="33"/>
      <c r="Q781" s="33"/>
      <c r="R781" s="33"/>
      <c r="S781" s="33"/>
      <c r="T781" s="33"/>
    </row>
    <row r="782" spans="2:20" ht="15.75" customHeight="1">
      <c r="B782" s="5"/>
      <c r="C782" s="5"/>
      <c r="D782" s="5"/>
      <c r="E782" s="5"/>
      <c r="F782" s="5"/>
      <c r="P782" s="33"/>
      <c r="Q782" s="33"/>
      <c r="R782" s="33"/>
      <c r="S782" s="33"/>
      <c r="T782" s="33"/>
    </row>
    <row r="783" spans="2:20" ht="15.75" customHeight="1">
      <c r="B783" s="5"/>
      <c r="C783" s="5"/>
      <c r="D783" s="5"/>
      <c r="E783" s="5"/>
      <c r="F783" s="5"/>
      <c r="P783" s="33"/>
      <c r="Q783" s="33"/>
      <c r="R783" s="33"/>
      <c r="S783" s="33"/>
      <c r="T783" s="33"/>
    </row>
    <row r="784" spans="2:20" ht="15.75" customHeight="1">
      <c r="B784" s="5"/>
      <c r="C784" s="5"/>
      <c r="D784" s="5"/>
      <c r="E784" s="5"/>
      <c r="F784" s="5"/>
      <c r="P784" s="33"/>
      <c r="Q784" s="33"/>
      <c r="R784" s="33"/>
      <c r="S784" s="33"/>
      <c r="T784" s="33"/>
    </row>
    <row r="785" spans="2:20" ht="15.75" customHeight="1">
      <c r="B785" s="5"/>
      <c r="C785" s="5"/>
      <c r="D785" s="5"/>
      <c r="E785" s="5"/>
      <c r="F785" s="5"/>
      <c r="P785" s="33"/>
      <c r="Q785" s="33"/>
      <c r="R785" s="33"/>
      <c r="S785" s="33"/>
      <c r="T785" s="33"/>
    </row>
    <row r="786" spans="2:20" ht="15.75" customHeight="1">
      <c r="B786" s="5"/>
      <c r="C786" s="5"/>
      <c r="D786" s="5"/>
      <c r="E786" s="5"/>
      <c r="F786" s="5"/>
      <c r="P786" s="33"/>
      <c r="Q786" s="33"/>
      <c r="R786" s="33"/>
      <c r="S786" s="33"/>
      <c r="T786" s="33"/>
    </row>
    <row r="787" spans="2:20" ht="15.75" customHeight="1">
      <c r="B787" s="5"/>
      <c r="C787" s="5"/>
      <c r="D787" s="5"/>
      <c r="E787" s="5"/>
      <c r="F787" s="5"/>
      <c r="P787" s="33"/>
      <c r="Q787" s="33"/>
      <c r="R787" s="33"/>
      <c r="S787" s="33"/>
      <c r="T787" s="33"/>
    </row>
    <row r="788" spans="2:20" ht="15.75" customHeight="1">
      <c r="B788" s="5"/>
      <c r="C788" s="5"/>
      <c r="D788" s="5"/>
      <c r="E788" s="5"/>
      <c r="F788" s="5"/>
      <c r="P788" s="33"/>
      <c r="Q788" s="33"/>
      <c r="R788" s="33"/>
      <c r="S788" s="33"/>
      <c r="T788" s="33"/>
    </row>
    <row r="789" spans="2:20" ht="15.75" customHeight="1">
      <c r="B789" s="5"/>
      <c r="C789" s="5"/>
      <c r="D789" s="5"/>
      <c r="E789" s="5"/>
      <c r="F789" s="5"/>
      <c r="P789" s="33"/>
      <c r="Q789" s="33"/>
      <c r="R789" s="33"/>
      <c r="S789" s="33"/>
      <c r="T789" s="33"/>
    </row>
    <row r="790" spans="2:20" ht="15.75" customHeight="1">
      <c r="B790" s="5"/>
      <c r="C790" s="5"/>
      <c r="D790" s="5"/>
      <c r="E790" s="5"/>
      <c r="F790" s="5"/>
      <c r="P790" s="33"/>
      <c r="Q790" s="33"/>
      <c r="R790" s="33"/>
      <c r="S790" s="33"/>
      <c r="T790" s="33"/>
    </row>
    <row r="791" spans="2:20" ht="15.75" customHeight="1">
      <c r="B791" s="5"/>
      <c r="C791" s="5"/>
      <c r="D791" s="5"/>
      <c r="E791" s="5"/>
      <c r="F791" s="5"/>
      <c r="P791" s="33"/>
      <c r="Q791" s="33"/>
      <c r="R791" s="33"/>
      <c r="S791" s="33"/>
      <c r="T791" s="33"/>
    </row>
    <row r="792" spans="2:20" ht="15.75" customHeight="1">
      <c r="B792" s="5"/>
      <c r="C792" s="5"/>
      <c r="D792" s="5"/>
      <c r="E792" s="5"/>
      <c r="F792" s="5"/>
      <c r="P792" s="33"/>
      <c r="Q792" s="33"/>
      <c r="R792" s="33"/>
      <c r="S792" s="33"/>
      <c r="T792" s="33"/>
    </row>
    <row r="793" spans="2:20" ht="15.75" customHeight="1">
      <c r="B793" s="5"/>
      <c r="C793" s="5"/>
      <c r="D793" s="5"/>
      <c r="E793" s="5"/>
      <c r="F793" s="5"/>
      <c r="P793" s="33"/>
      <c r="Q793" s="33"/>
      <c r="R793" s="33"/>
      <c r="S793" s="33"/>
      <c r="T793" s="33"/>
    </row>
    <row r="794" spans="2:20" ht="15.75" customHeight="1">
      <c r="B794" s="5"/>
      <c r="C794" s="5"/>
      <c r="D794" s="5"/>
      <c r="E794" s="5"/>
      <c r="F794" s="5"/>
      <c r="P794" s="33"/>
      <c r="Q794" s="33"/>
      <c r="R794" s="33"/>
      <c r="S794" s="33"/>
      <c r="T794" s="33"/>
    </row>
    <row r="795" spans="2:20" ht="15.75" customHeight="1">
      <c r="B795" s="5"/>
      <c r="C795" s="5"/>
      <c r="D795" s="5"/>
      <c r="E795" s="5"/>
      <c r="F795" s="5"/>
      <c r="P795" s="33"/>
      <c r="Q795" s="33"/>
      <c r="R795" s="33"/>
      <c r="S795" s="33"/>
      <c r="T795" s="33"/>
    </row>
    <row r="796" spans="2:20" ht="15.75" customHeight="1">
      <c r="B796" s="5"/>
      <c r="C796" s="5"/>
      <c r="D796" s="5"/>
      <c r="E796" s="5"/>
      <c r="F796" s="5"/>
      <c r="P796" s="33"/>
      <c r="Q796" s="33"/>
      <c r="R796" s="33"/>
      <c r="S796" s="33"/>
      <c r="T796" s="33"/>
    </row>
    <row r="797" spans="2:20" ht="15.75" customHeight="1">
      <c r="B797" s="5"/>
      <c r="C797" s="5"/>
      <c r="D797" s="5"/>
      <c r="E797" s="5"/>
      <c r="F797" s="5"/>
      <c r="P797" s="33"/>
      <c r="Q797" s="33"/>
      <c r="R797" s="33"/>
      <c r="S797" s="33"/>
      <c r="T797" s="33"/>
    </row>
    <row r="798" spans="2:20" ht="15.75" customHeight="1">
      <c r="B798" s="5"/>
      <c r="C798" s="5"/>
      <c r="D798" s="5"/>
      <c r="E798" s="5"/>
      <c r="F798" s="5"/>
      <c r="P798" s="33"/>
      <c r="Q798" s="33"/>
      <c r="R798" s="33"/>
      <c r="S798" s="33"/>
      <c r="T798" s="33"/>
    </row>
    <row r="799" spans="2:20" ht="15.75" customHeight="1">
      <c r="B799" s="5"/>
      <c r="C799" s="5"/>
      <c r="D799" s="5"/>
      <c r="E799" s="5"/>
      <c r="F799" s="5"/>
      <c r="P799" s="33"/>
      <c r="Q799" s="33"/>
      <c r="R799" s="33"/>
      <c r="S799" s="33"/>
      <c r="T799" s="33"/>
    </row>
    <row r="800" spans="2:20" ht="15.75" customHeight="1">
      <c r="B800" s="5"/>
      <c r="C800" s="5"/>
      <c r="D800" s="5"/>
      <c r="E800" s="5"/>
      <c r="F800" s="5"/>
      <c r="P800" s="33"/>
      <c r="Q800" s="33"/>
      <c r="R800" s="33"/>
      <c r="S800" s="33"/>
      <c r="T800" s="33"/>
    </row>
    <row r="801" spans="2:20" ht="15.75" customHeight="1">
      <c r="B801" s="5"/>
      <c r="C801" s="5"/>
      <c r="D801" s="5"/>
      <c r="E801" s="5"/>
      <c r="F801" s="5"/>
      <c r="P801" s="33"/>
      <c r="Q801" s="33"/>
      <c r="R801" s="33"/>
      <c r="S801" s="33"/>
      <c r="T801" s="33"/>
    </row>
    <row r="802" spans="2:20" ht="15.75" customHeight="1">
      <c r="B802" s="5"/>
      <c r="C802" s="5"/>
      <c r="D802" s="5"/>
      <c r="E802" s="5"/>
      <c r="F802" s="5"/>
      <c r="P802" s="33"/>
      <c r="Q802" s="33"/>
      <c r="R802" s="33"/>
      <c r="S802" s="33"/>
      <c r="T802" s="33"/>
    </row>
    <row r="803" spans="2:20" ht="15.75" customHeight="1">
      <c r="B803" s="5"/>
      <c r="C803" s="5"/>
      <c r="D803" s="5"/>
      <c r="E803" s="5"/>
      <c r="F803" s="5"/>
      <c r="P803" s="33"/>
      <c r="Q803" s="33"/>
      <c r="R803" s="33"/>
      <c r="S803" s="33"/>
      <c r="T803" s="33"/>
    </row>
    <row r="804" spans="2:20" ht="15.75" customHeight="1">
      <c r="B804" s="5"/>
      <c r="C804" s="5"/>
      <c r="D804" s="5"/>
      <c r="E804" s="5"/>
      <c r="F804" s="5"/>
      <c r="P804" s="33"/>
      <c r="Q804" s="33"/>
      <c r="R804" s="33"/>
      <c r="S804" s="33"/>
      <c r="T804" s="33"/>
    </row>
    <row r="805" spans="2:20" ht="15.75" customHeight="1">
      <c r="B805" s="5"/>
      <c r="C805" s="5"/>
      <c r="D805" s="5"/>
      <c r="E805" s="5"/>
      <c r="F805" s="5"/>
      <c r="P805" s="33"/>
      <c r="Q805" s="33"/>
      <c r="R805" s="33"/>
      <c r="S805" s="33"/>
      <c r="T805" s="33"/>
    </row>
    <row r="806" spans="2:20" ht="15.75" customHeight="1">
      <c r="B806" s="5"/>
      <c r="C806" s="5"/>
      <c r="D806" s="5"/>
      <c r="E806" s="5"/>
      <c r="F806" s="5"/>
      <c r="P806" s="33"/>
      <c r="Q806" s="33"/>
      <c r="R806" s="33"/>
      <c r="S806" s="33"/>
      <c r="T806" s="33"/>
    </row>
    <row r="807" spans="2:20" ht="15.75" customHeight="1">
      <c r="B807" s="5"/>
      <c r="C807" s="5"/>
      <c r="D807" s="5"/>
      <c r="E807" s="5"/>
      <c r="F807" s="5"/>
      <c r="P807" s="33"/>
      <c r="Q807" s="33"/>
      <c r="R807" s="33"/>
      <c r="S807" s="33"/>
      <c r="T807" s="33"/>
    </row>
    <row r="808" spans="2:20" ht="15.75" customHeight="1">
      <c r="B808" s="5"/>
      <c r="C808" s="5"/>
      <c r="D808" s="5"/>
      <c r="E808" s="5"/>
      <c r="F808" s="5"/>
      <c r="P808" s="33"/>
      <c r="Q808" s="33"/>
      <c r="R808" s="33"/>
      <c r="S808" s="33"/>
      <c r="T808" s="33"/>
    </row>
    <row r="809" spans="2:20" ht="15.75" customHeight="1">
      <c r="B809" s="5"/>
      <c r="C809" s="5"/>
      <c r="D809" s="5"/>
      <c r="E809" s="5"/>
      <c r="F809" s="5"/>
      <c r="P809" s="33"/>
      <c r="Q809" s="33"/>
      <c r="R809" s="33"/>
      <c r="S809" s="33"/>
      <c r="T809" s="33"/>
    </row>
    <row r="810" spans="2:20" ht="15.75" customHeight="1">
      <c r="B810" s="5"/>
      <c r="C810" s="5"/>
      <c r="D810" s="5"/>
      <c r="E810" s="5"/>
      <c r="F810" s="5"/>
      <c r="P810" s="33"/>
      <c r="Q810" s="33"/>
      <c r="R810" s="33"/>
      <c r="S810" s="33"/>
      <c r="T810" s="33"/>
    </row>
    <row r="811" spans="2:20" ht="15.75" customHeight="1">
      <c r="B811" s="5"/>
      <c r="C811" s="5"/>
      <c r="D811" s="5"/>
      <c r="E811" s="5"/>
      <c r="F811" s="5"/>
      <c r="P811" s="33"/>
      <c r="Q811" s="33"/>
      <c r="R811" s="33"/>
      <c r="S811" s="33"/>
      <c r="T811" s="33"/>
    </row>
    <row r="812" spans="2:20" ht="15.75" customHeight="1">
      <c r="B812" s="5"/>
      <c r="C812" s="5"/>
      <c r="D812" s="5"/>
      <c r="E812" s="5"/>
      <c r="F812" s="5"/>
      <c r="P812" s="33"/>
      <c r="Q812" s="33"/>
      <c r="R812" s="33"/>
      <c r="S812" s="33"/>
      <c r="T812" s="33"/>
    </row>
    <row r="813" spans="2:20" ht="15.75" customHeight="1">
      <c r="B813" s="5"/>
      <c r="C813" s="5"/>
      <c r="D813" s="5"/>
      <c r="E813" s="5"/>
      <c r="F813" s="5"/>
      <c r="P813" s="33"/>
      <c r="Q813" s="33"/>
      <c r="R813" s="33"/>
      <c r="S813" s="33"/>
      <c r="T813" s="33"/>
    </row>
    <row r="814" spans="2:20" ht="15.75" customHeight="1">
      <c r="B814" s="5"/>
      <c r="C814" s="5"/>
      <c r="D814" s="5"/>
      <c r="E814" s="5"/>
      <c r="F814" s="5"/>
      <c r="P814" s="33"/>
      <c r="Q814" s="33"/>
      <c r="R814" s="33"/>
      <c r="S814" s="33"/>
      <c r="T814" s="33"/>
    </row>
    <row r="815" spans="2:20" ht="15.75" customHeight="1">
      <c r="B815" s="5"/>
      <c r="C815" s="5"/>
      <c r="D815" s="5"/>
      <c r="E815" s="5"/>
      <c r="F815" s="5"/>
      <c r="P815" s="33"/>
      <c r="Q815" s="33"/>
      <c r="R815" s="33"/>
      <c r="S815" s="33"/>
      <c r="T815" s="33"/>
    </row>
    <row r="816" spans="2:20" ht="15.75" customHeight="1">
      <c r="B816" s="5"/>
      <c r="C816" s="5"/>
      <c r="D816" s="5"/>
      <c r="E816" s="5"/>
      <c r="F816" s="5"/>
      <c r="P816" s="33"/>
      <c r="Q816" s="33"/>
      <c r="R816" s="33"/>
      <c r="S816" s="33"/>
      <c r="T816" s="33"/>
    </row>
    <row r="817" spans="2:20" ht="15.75" customHeight="1">
      <c r="B817" s="5"/>
      <c r="C817" s="5"/>
      <c r="D817" s="5"/>
      <c r="E817" s="5"/>
      <c r="F817" s="5"/>
      <c r="P817" s="33"/>
      <c r="Q817" s="33"/>
      <c r="R817" s="33"/>
      <c r="S817" s="33"/>
      <c r="T817" s="33"/>
    </row>
    <row r="818" spans="2:20" ht="15.75" customHeight="1">
      <c r="B818" s="5"/>
      <c r="C818" s="5"/>
      <c r="D818" s="5"/>
      <c r="E818" s="5"/>
      <c r="F818" s="5"/>
      <c r="P818" s="33"/>
      <c r="Q818" s="33"/>
      <c r="R818" s="33"/>
      <c r="S818" s="33"/>
      <c r="T818" s="33"/>
    </row>
    <row r="819" spans="2:20" ht="15.75" customHeight="1">
      <c r="B819" s="5"/>
      <c r="C819" s="5"/>
      <c r="D819" s="5"/>
      <c r="E819" s="5"/>
      <c r="F819" s="5"/>
      <c r="P819" s="33"/>
      <c r="Q819" s="33"/>
      <c r="R819" s="33"/>
      <c r="S819" s="33"/>
      <c r="T819" s="33"/>
    </row>
    <row r="820" spans="2:20" ht="15.75" customHeight="1">
      <c r="B820" s="5"/>
      <c r="C820" s="5"/>
      <c r="D820" s="5"/>
      <c r="E820" s="5"/>
      <c r="F820" s="5"/>
      <c r="P820" s="33"/>
      <c r="Q820" s="33"/>
      <c r="R820" s="33"/>
      <c r="S820" s="33"/>
      <c r="T820" s="33"/>
    </row>
    <row r="821" spans="2:20" ht="15.75" customHeight="1">
      <c r="B821" s="5"/>
      <c r="C821" s="5"/>
      <c r="D821" s="5"/>
      <c r="E821" s="5"/>
      <c r="F821" s="5"/>
      <c r="P821" s="33"/>
      <c r="Q821" s="33"/>
      <c r="R821" s="33"/>
      <c r="S821" s="33"/>
      <c r="T821" s="33"/>
    </row>
    <row r="822" spans="2:20" ht="15.75" customHeight="1">
      <c r="B822" s="5"/>
      <c r="C822" s="5"/>
      <c r="D822" s="5"/>
      <c r="E822" s="5"/>
      <c r="F822" s="5"/>
      <c r="P822" s="33"/>
      <c r="Q822" s="33"/>
      <c r="R822" s="33"/>
      <c r="S822" s="33"/>
      <c r="T822" s="33"/>
    </row>
    <row r="823" spans="2:20" ht="15.75" customHeight="1">
      <c r="B823" s="5"/>
      <c r="C823" s="5"/>
      <c r="D823" s="5"/>
      <c r="E823" s="5"/>
      <c r="F823" s="5"/>
      <c r="P823" s="33"/>
      <c r="Q823" s="33"/>
      <c r="R823" s="33"/>
      <c r="S823" s="33"/>
      <c r="T823" s="33"/>
    </row>
    <row r="824" spans="2:20" ht="15.75" customHeight="1">
      <c r="B824" s="5"/>
      <c r="C824" s="5"/>
      <c r="D824" s="5"/>
      <c r="E824" s="5"/>
      <c r="F824" s="5"/>
      <c r="P824" s="33"/>
      <c r="Q824" s="33"/>
      <c r="R824" s="33"/>
      <c r="S824" s="33"/>
      <c r="T824" s="33"/>
    </row>
    <row r="825" spans="2:20" ht="15.75" customHeight="1">
      <c r="B825" s="5"/>
      <c r="C825" s="5"/>
      <c r="D825" s="5"/>
      <c r="E825" s="5"/>
      <c r="F825" s="5"/>
      <c r="P825" s="33"/>
      <c r="Q825" s="33"/>
      <c r="R825" s="33"/>
      <c r="S825" s="33"/>
      <c r="T825" s="33"/>
    </row>
    <row r="826" spans="2:20" ht="15.75" customHeight="1">
      <c r="B826" s="5"/>
      <c r="C826" s="5"/>
      <c r="D826" s="5"/>
      <c r="E826" s="5"/>
      <c r="F826" s="5"/>
      <c r="P826" s="33"/>
      <c r="Q826" s="33"/>
      <c r="R826" s="33"/>
      <c r="S826" s="33"/>
      <c r="T826" s="33"/>
    </row>
    <row r="827" spans="2:20" ht="15.75" customHeight="1">
      <c r="B827" s="5"/>
      <c r="C827" s="5"/>
      <c r="D827" s="5"/>
      <c r="E827" s="5"/>
      <c r="F827" s="5"/>
      <c r="P827" s="33"/>
      <c r="Q827" s="33"/>
      <c r="R827" s="33"/>
      <c r="S827" s="33"/>
      <c r="T827" s="33"/>
    </row>
    <row r="828" spans="2:20" ht="15.75" customHeight="1">
      <c r="B828" s="5"/>
      <c r="C828" s="5"/>
      <c r="D828" s="5"/>
      <c r="E828" s="5"/>
      <c r="F828" s="5"/>
      <c r="P828" s="33"/>
      <c r="Q828" s="33"/>
      <c r="R828" s="33"/>
      <c r="S828" s="33"/>
      <c r="T828" s="33"/>
    </row>
    <row r="829" spans="2:20" ht="15.75" customHeight="1">
      <c r="B829" s="5"/>
      <c r="C829" s="5"/>
      <c r="D829" s="5"/>
      <c r="E829" s="5"/>
      <c r="F829" s="5"/>
      <c r="P829" s="33"/>
      <c r="Q829" s="33"/>
      <c r="R829" s="33"/>
      <c r="S829" s="33"/>
      <c r="T829" s="33"/>
    </row>
    <row r="830" spans="2:20" ht="15.75" customHeight="1">
      <c r="B830" s="5"/>
      <c r="C830" s="5"/>
      <c r="D830" s="5"/>
      <c r="E830" s="5"/>
      <c r="F830" s="5"/>
      <c r="P830" s="33"/>
      <c r="Q830" s="33"/>
      <c r="R830" s="33"/>
      <c r="S830" s="33"/>
      <c r="T830" s="33"/>
    </row>
    <row r="831" spans="2:20" ht="15.75" customHeight="1">
      <c r="B831" s="5"/>
      <c r="C831" s="5"/>
      <c r="D831" s="5"/>
      <c r="E831" s="5"/>
      <c r="F831" s="5"/>
      <c r="P831" s="33"/>
      <c r="Q831" s="33"/>
      <c r="R831" s="33"/>
      <c r="S831" s="33"/>
      <c r="T831" s="33"/>
    </row>
    <row r="832" spans="2:20" ht="15.75" customHeight="1">
      <c r="B832" s="5"/>
      <c r="C832" s="5"/>
      <c r="D832" s="5"/>
      <c r="E832" s="5"/>
      <c r="F832" s="5"/>
      <c r="P832" s="33"/>
      <c r="Q832" s="33"/>
      <c r="R832" s="33"/>
      <c r="S832" s="33"/>
      <c r="T832" s="33"/>
    </row>
    <row r="833" spans="2:20" ht="15.75" customHeight="1">
      <c r="B833" s="5"/>
      <c r="C833" s="5"/>
      <c r="D833" s="5"/>
      <c r="E833" s="5"/>
      <c r="F833" s="5"/>
      <c r="P833" s="33"/>
      <c r="Q833" s="33"/>
      <c r="R833" s="33"/>
      <c r="S833" s="33"/>
      <c r="T833" s="33"/>
    </row>
    <row r="834" spans="2:20" ht="15.75" customHeight="1">
      <c r="B834" s="5"/>
      <c r="C834" s="5"/>
      <c r="D834" s="5"/>
      <c r="E834" s="5"/>
      <c r="F834" s="5"/>
      <c r="P834" s="33"/>
      <c r="Q834" s="33"/>
      <c r="R834" s="33"/>
      <c r="S834" s="33"/>
      <c r="T834" s="33"/>
    </row>
    <row r="835" spans="2:20" ht="15.75" customHeight="1">
      <c r="B835" s="5"/>
      <c r="C835" s="5"/>
      <c r="D835" s="5"/>
      <c r="E835" s="5"/>
      <c r="F835" s="5"/>
      <c r="P835" s="33"/>
      <c r="Q835" s="33"/>
      <c r="R835" s="33"/>
      <c r="S835" s="33"/>
      <c r="T835" s="33"/>
    </row>
    <row r="836" spans="2:20" ht="15.75" customHeight="1">
      <c r="B836" s="5"/>
      <c r="C836" s="5"/>
      <c r="D836" s="5"/>
      <c r="E836" s="5"/>
      <c r="F836" s="5"/>
      <c r="P836" s="33"/>
      <c r="Q836" s="33"/>
      <c r="R836" s="33"/>
      <c r="S836" s="33"/>
      <c r="T836" s="33"/>
    </row>
    <row r="837" spans="2:20" ht="15.75" customHeight="1">
      <c r="B837" s="5"/>
      <c r="C837" s="5"/>
      <c r="D837" s="5"/>
      <c r="E837" s="5"/>
      <c r="F837" s="5"/>
      <c r="P837" s="33"/>
      <c r="Q837" s="33"/>
      <c r="R837" s="33"/>
      <c r="S837" s="33"/>
      <c r="T837" s="33"/>
    </row>
    <row r="838" spans="2:20" ht="15.75" customHeight="1">
      <c r="B838" s="5"/>
      <c r="C838" s="5"/>
      <c r="D838" s="5"/>
      <c r="E838" s="5"/>
      <c r="F838" s="5"/>
      <c r="P838" s="33"/>
      <c r="Q838" s="33"/>
      <c r="R838" s="33"/>
      <c r="S838" s="33"/>
      <c r="T838" s="33"/>
    </row>
    <row r="839" spans="2:20" ht="15.75" customHeight="1">
      <c r="B839" s="5"/>
      <c r="C839" s="5"/>
      <c r="D839" s="5"/>
      <c r="E839" s="5"/>
      <c r="F839" s="5"/>
      <c r="P839" s="33"/>
      <c r="Q839" s="33"/>
      <c r="R839" s="33"/>
      <c r="S839" s="33"/>
      <c r="T839" s="33"/>
    </row>
    <row r="840" spans="2:20" ht="15.75" customHeight="1">
      <c r="B840" s="5"/>
      <c r="C840" s="5"/>
      <c r="D840" s="5"/>
      <c r="E840" s="5"/>
      <c r="F840" s="5"/>
      <c r="P840" s="33"/>
      <c r="Q840" s="33"/>
      <c r="R840" s="33"/>
      <c r="S840" s="33"/>
      <c r="T840" s="33"/>
    </row>
    <row r="841" spans="2:20" ht="15.75" customHeight="1">
      <c r="B841" s="5"/>
      <c r="C841" s="5"/>
      <c r="D841" s="5"/>
      <c r="E841" s="5"/>
      <c r="F841" s="5"/>
      <c r="P841" s="33"/>
      <c r="Q841" s="33"/>
      <c r="R841" s="33"/>
      <c r="S841" s="33"/>
      <c r="T841" s="33"/>
    </row>
    <row r="842" spans="2:20" ht="15.75" customHeight="1">
      <c r="B842" s="5"/>
      <c r="C842" s="5"/>
      <c r="D842" s="5"/>
      <c r="E842" s="5"/>
      <c r="F842" s="5"/>
      <c r="P842" s="33"/>
      <c r="Q842" s="33"/>
      <c r="R842" s="33"/>
      <c r="S842" s="33"/>
      <c r="T842" s="33"/>
    </row>
    <row r="843" spans="2:20" ht="15.75" customHeight="1">
      <c r="B843" s="5"/>
      <c r="C843" s="5"/>
      <c r="D843" s="5"/>
      <c r="E843" s="5"/>
      <c r="F843" s="5"/>
      <c r="P843" s="33"/>
      <c r="Q843" s="33"/>
      <c r="R843" s="33"/>
      <c r="S843" s="33"/>
      <c r="T843" s="33"/>
    </row>
    <row r="844" spans="2:20" ht="15.75" customHeight="1">
      <c r="B844" s="5"/>
      <c r="C844" s="5"/>
      <c r="D844" s="5"/>
      <c r="E844" s="5"/>
      <c r="F844" s="5"/>
      <c r="P844" s="33"/>
      <c r="Q844" s="33"/>
      <c r="R844" s="33"/>
      <c r="S844" s="33"/>
      <c r="T844" s="33"/>
    </row>
    <row r="845" spans="2:20" ht="15.75" customHeight="1">
      <c r="B845" s="5"/>
      <c r="C845" s="5"/>
      <c r="D845" s="5"/>
      <c r="E845" s="5"/>
      <c r="F845" s="5"/>
      <c r="P845" s="33"/>
      <c r="Q845" s="33"/>
      <c r="R845" s="33"/>
      <c r="S845" s="33"/>
      <c r="T845" s="33"/>
    </row>
    <row r="846" spans="2:20" ht="15.75" customHeight="1">
      <c r="B846" s="5"/>
      <c r="C846" s="5"/>
      <c r="D846" s="5"/>
      <c r="E846" s="5"/>
      <c r="F846" s="5"/>
      <c r="P846" s="33"/>
      <c r="Q846" s="33"/>
      <c r="R846" s="33"/>
      <c r="S846" s="33"/>
      <c r="T846" s="33"/>
    </row>
    <row r="847" spans="2:20" ht="15.75" customHeight="1">
      <c r="B847" s="5"/>
      <c r="C847" s="5"/>
      <c r="D847" s="5"/>
      <c r="E847" s="5"/>
      <c r="F847" s="5"/>
      <c r="P847" s="33"/>
      <c r="Q847" s="33"/>
      <c r="R847" s="33"/>
      <c r="S847" s="33"/>
      <c r="T847" s="33"/>
    </row>
    <row r="848" spans="2:20" ht="15.75" customHeight="1">
      <c r="B848" s="5"/>
      <c r="C848" s="5"/>
      <c r="D848" s="5"/>
      <c r="E848" s="5"/>
      <c r="F848" s="5"/>
      <c r="P848" s="33"/>
      <c r="Q848" s="33"/>
      <c r="R848" s="33"/>
      <c r="S848" s="33"/>
      <c r="T848" s="33"/>
    </row>
    <row r="849" spans="2:20" ht="15.75" customHeight="1">
      <c r="B849" s="5"/>
      <c r="C849" s="5"/>
      <c r="D849" s="5"/>
      <c r="E849" s="5"/>
      <c r="F849" s="5"/>
      <c r="P849" s="33"/>
      <c r="Q849" s="33"/>
      <c r="R849" s="33"/>
      <c r="S849" s="33"/>
      <c r="T849" s="33"/>
    </row>
    <row r="850" spans="2:20" ht="15.75" customHeight="1">
      <c r="B850" s="5"/>
      <c r="C850" s="5"/>
      <c r="D850" s="5"/>
      <c r="E850" s="5"/>
      <c r="F850" s="5"/>
      <c r="P850" s="33"/>
      <c r="Q850" s="33"/>
      <c r="R850" s="33"/>
      <c r="S850" s="33"/>
      <c r="T850" s="33"/>
    </row>
    <row r="851" spans="2:20" ht="15.75" customHeight="1">
      <c r="B851" s="5"/>
      <c r="C851" s="5"/>
      <c r="D851" s="5"/>
      <c r="E851" s="5"/>
      <c r="F851" s="5"/>
      <c r="P851" s="33"/>
      <c r="Q851" s="33"/>
      <c r="R851" s="33"/>
      <c r="S851" s="33"/>
      <c r="T851" s="33"/>
    </row>
    <row r="852" spans="2:20" ht="15.75" customHeight="1">
      <c r="B852" s="5"/>
      <c r="C852" s="5"/>
      <c r="D852" s="5"/>
      <c r="E852" s="5"/>
      <c r="F852" s="5"/>
      <c r="P852" s="33"/>
      <c r="Q852" s="33"/>
      <c r="R852" s="33"/>
      <c r="S852" s="33"/>
      <c r="T852" s="33"/>
    </row>
    <row r="853" spans="2:20" ht="15.75" customHeight="1">
      <c r="B853" s="5"/>
      <c r="C853" s="5"/>
      <c r="D853" s="5"/>
      <c r="E853" s="5"/>
      <c r="F853" s="5"/>
      <c r="P853" s="33"/>
      <c r="Q853" s="33"/>
      <c r="R853" s="33"/>
      <c r="S853" s="33"/>
      <c r="T853" s="33"/>
    </row>
    <row r="854" spans="2:20" ht="15.75" customHeight="1">
      <c r="B854" s="5"/>
      <c r="C854" s="5"/>
      <c r="D854" s="5"/>
      <c r="E854" s="5"/>
      <c r="F854" s="5"/>
      <c r="P854" s="33"/>
      <c r="Q854" s="33"/>
      <c r="R854" s="33"/>
      <c r="S854" s="33"/>
      <c r="T854" s="33"/>
    </row>
    <row r="855" spans="2:20" ht="15.75" customHeight="1">
      <c r="B855" s="5"/>
      <c r="C855" s="5"/>
      <c r="D855" s="5"/>
      <c r="E855" s="5"/>
      <c r="F855" s="5"/>
      <c r="P855" s="33"/>
      <c r="Q855" s="33"/>
      <c r="R855" s="33"/>
      <c r="S855" s="33"/>
      <c r="T855" s="33"/>
    </row>
    <row r="856" spans="2:20" ht="15.75" customHeight="1">
      <c r="B856" s="5"/>
      <c r="C856" s="5"/>
      <c r="D856" s="5"/>
      <c r="E856" s="5"/>
      <c r="F856" s="5"/>
      <c r="P856" s="33"/>
      <c r="Q856" s="33"/>
      <c r="R856" s="33"/>
      <c r="S856" s="33"/>
      <c r="T856" s="33"/>
    </row>
    <row r="857" spans="2:20" ht="15.75" customHeight="1">
      <c r="B857" s="5"/>
      <c r="C857" s="5"/>
      <c r="D857" s="5"/>
      <c r="E857" s="5"/>
      <c r="F857" s="5"/>
      <c r="P857" s="33"/>
      <c r="Q857" s="33"/>
      <c r="R857" s="33"/>
      <c r="S857" s="33"/>
      <c r="T857" s="33"/>
    </row>
    <row r="858" spans="2:20" ht="15.75" customHeight="1">
      <c r="B858" s="5"/>
      <c r="C858" s="5"/>
      <c r="D858" s="5"/>
      <c r="E858" s="5"/>
      <c r="F858" s="5"/>
      <c r="P858" s="33"/>
      <c r="Q858" s="33"/>
      <c r="R858" s="33"/>
      <c r="S858" s="33"/>
      <c r="T858" s="33"/>
    </row>
    <row r="859" spans="2:20" ht="15.75" customHeight="1">
      <c r="B859" s="5"/>
      <c r="C859" s="5"/>
      <c r="D859" s="5"/>
      <c r="E859" s="5"/>
      <c r="F859" s="5"/>
      <c r="P859" s="33"/>
      <c r="Q859" s="33"/>
      <c r="R859" s="33"/>
      <c r="S859" s="33"/>
      <c r="T859" s="33"/>
    </row>
    <row r="860" spans="2:20" ht="15.75" customHeight="1">
      <c r="B860" s="5"/>
      <c r="C860" s="5"/>
      <c r="D860" s="5"/>
      <c r="E860" s="5"/>
      <c r="F860" s="5"/>
      <c r="P860" s="33"/>
      <c r="Q860" s="33"/>
      <c r="R860" s="33"/>
      <c r="S860" s="33"/>
      <c r="T860" s="33"/>
    </row>
    <row r="861" spans="2:20" ht="15.75" customHeight="1">
      <c r="B861" s="5"/>
      <c r="C861" s="5"/>
      <c r="D861" s="5"/>
      <c r="E861" s="5"/>
      <c r="F861" s="5"/>
      <c r="P861" s="33"/>
      <c r="Q861" s="33"/>
      <c r="R861" s="33"/>
      <c r="S861" s="33"/>
      <c r="T861" s="33"/>
    </row>
    <row r="862" spans="2:20" ht="15.75" customHeight="1">
      <c r="B862" s="5"/>
      <c r="C862" s="5"/>
      <c r="D862" s="5"/>
      <c r="E862" s="5"/>
      <c r="F862" s="5"/>
      <c r="P862" s="33"/>
      <c r="Q862" s="33"/>
      <c r="R862" s="33"/>
      <c r="S862" s="33"/>
      <c r="T862" s="33"/>
    </row>
    <row r="863" spans="2:20" ht="15.75" customHeight="1">
      <c r="B863" s="5"/>
      <c r="C863" s="5"/>
      <c r="D863" s="5"/>
      <c r="E863" s="5"/>
      <c r="F863" s="5"/>
      <c r="P863" s="33"/>
      <c r="Q863" s="33"/>
      <c r="R863" s="33"/>
      <c r="S863" s="33"/>
      <c r="T863" s="33"/>
    </row>
    <row r="864" spans="2:20" ht="15.75" customHeight="1">
      <c r="B864" s="5"/>
      <c r="C864" s="5"/>
      <c r="D864" s="5"/>
      <c r="E864" s="5"/>
      <c r="F864" s="5"/>
      <c r="P864" s="33"/>
      <c r="Q864" s="33"/>
      <c r="R864" s="33"/>
      <c r="S864" s="33"/>
      <c r="T864" s="33"/>
    </row>
    <row r="865" spans="2:20" ht="15.75" customHeight="1">
      <c r="B865" s="5"/>
      <c r="C865" s="5"/>
      <c r="D865" s="5"/>
      <c r="E865" s="5"/>
      <c r="F865" s="5"/>
      <c r="P865" s="33"/>
      <c r="Q865" s="33"/>
      <c r="R865" s="33"/>
      <c r="S865" s="33"/>
      <c r="T865" s="33"/>
    </row>
    <row r="866" spans="2:20" ht="15.75" customHeight="1">
      <c r="B866" s="5"/>
      <c r="C866" s="5"/>
      <c r="D866" s="5"/>
      <c r="E866" s="5"/>
      <c r="F866" s="5"/>
      <c r="P866" s="33"/>
      <c r="Q866" s="33"/>
      <c r="R866" s="33"/>
      <c r="S866" s="33"/>
      <c r="T866" s="33"/>
    </row>
    <row r="867" spans="2:20" ht="15.75" customHeight="1">
      <c r="B867" s="5"/>
      <c r="C867" s="5"/>
      <c r="D867" s="5"/>
      <c r="E867" s="5"/>
      <c r="F867" s="5"/>
      <c r="P867" s="33"/>
      <c r="Q867" s="33"/>
      <c r="R867" s="33"/>
      <c r="S867" s="33"/>
      <c r="T867" s="33"/>
    </row>
    <row r="868" spans="2:20" ht="15.75" customHeight="1">
      <c r="B868" s="5"/>
      <c r="C868" s="5"/>
      <c r="D868" s="5"/>
      <c r="E868" s="5"/>
      <c r="F868" s="5"/>
      <c r="P868" s="33"/>
      <c r="Q868" s="33"/>
      <c r="R868" s="33"/>
      <c r="S868" s="33"/>
      <c r="T868" s="33"/>
    </row>
    <row r="869" spans="2:20" ht="15.75" customHeight="1">
      <c r="B869" s="5"/>
      <c r="C869" s="5"/>
      <c r="D869" s="5"/>
      <c r="E869" s="5"/>
      <c r="F869" s="5"/>
      <c r="P869" s="33"/>
      <c r="Q869" s="33"/>
      <c r="R869" s="33"/>
      <c r="S869" s="33"/>
      <c r="T869" s="33"/>
    </row>
    <row r="870" spans="2:20" ht="15.75" customHeight="1">
      <c r="B870" s="5"/>
      <c r="C870" s="5"/>
      <c r="D870" s="5"/>
      <c r="E870" s="5"/>
      <c r="F870" s="5"/>
      <c r="P870" s="33"/>
      <c r="Q870" s="33"/>
      <c r="R870" s="33"/>
      <c r="S870" s="33"/>
      <c r="T870" s="33"/>
    </row>
    <row r="871" spans="2:20" ht="15.75" customHeight="1">
      <c r="B871" s="5"/>
      <c r="C871" s="5"/>
      <c r="D871" s="5"/>
      <c r="E871" s="5"/>
      <c r="F871" s="5"/>
      <c r="P871" s="33"/>
      <c r="Q871" s="33"/>
      <c r="R871" s="33"/>
      <c r="S871" s="33"/>
      <c r="T871" s="33"/>
    </row>
    <row r="872" spans="2:20" ht="15.75" customHeight="1">
      <c r="B872" s="5"/>
      <c r="C872" s="5"/>
      <c r="D872" s="5"/>
      <c r="E872" s="5"/>
      <c r="F872" s="5"/>
      <c r="P872" s="33"/>
      <c r="Q872" s="33"/>
      <c r="R872" s="33"/>
      <c r="S872" s="33"/>
      <c r="T872" s="33"/>
    </row>
    <row r="873" spans="2:20" ht="15.75" customHeight="1">
      <c r="B873" s="5"/>
      <c r="C873" s="5"/>
      <c r="D873" s="5"/>
      <c r="E873" s="5"/>
      <c r="F873" s="5"/>
      <c r="P873" s="33"/>
      <c r="Q873" s="33"/>
      <c r="R873" s="33"/>
      <c r="S873" s="33"/>
      <c r="T873" s="33"/>
    </row>
    <row r="874" spans="2:20" ht="15.75" customHeight="1">
      <c r="B874" s="5"/>
      <c r="C874" s="5"/>
      <c r="D874" s="5"/>
      <c r="E874" s="5"/>
      <c r="F874" s="5"/>
      <c r="P874" s="33"/>
      <c r="Q874" s="33"/>
      <c r="R874" s="33"/>
      <c r="S874" s="33"/>
      <c r="T874" s="33"/>
    </row>
    <row r="875" spans="2:20" ht="15.75" customHeight="1">
      <c r="B875" s="5"/>
      <c r="C875" s="5"/>
      <c r="D875" s="5"/>
      <c r="E875" s="5"/>
      <c r="F875" s="5"/>
      <c r="P875" s="33"/>
      <c r="Q875" s="33"/>
      <c r="R875" s="33"/>
      <c r="S875" s="33"/>
      <c r="T875" s="33"/>
    </row>
    <row r="876" spans="2:20" ht="15.75" customHeight="1">
      <c r="B876" s="5"/>
      <c r="C876" s="5"/>
      <c r="D876" s="5"/>
      <c r="E876" s="5"/>
      <c r="F876" s="5"/>
      <c r="P876" s="33"/>
      <c r="Q876" s="33"/>
      <c r="R876" s="33"/>
      <c r="S876" s="33"/>
      <c r="T876" s="33"/>
    </row>
    <row r="877" spans="2:20" ht="15.75" customHeight="1">
      <c r="B877" s="5"/>
      <c r="C877" s="5"/>
      <c r="D877" s="5"/>
      <c r="E877" s="5"/>
      <c r="F877" s="5"/>
      <c r="P877" s="33"/>
      <c r="Q877" s="33"/>
      <c r="R877" s="33"/>
      <c r="S877" s="33"/>
      <c r="T877" s="33"/>
    </row>
    <row r="878" spans="2:20" ht="15.75" customHeight="1">
      <c r="B878" s="5"/>
      <c r="C878" s="5"/>
      <c r="D878" s="5"/>
      <c r="E878" s="5"/>
      <c r="F878" s="5"/>
      <c r="P878" s="33"/>
      <c r="Q878" s="33"/>
      <c r="R878" s="33"/>
      <c r="S878" s="33"/>
      <c r="T878" s="33"/>
    </row>
    <row r="879" spans="2:20" ht="15.75" customHeight="1">
      <c r="B879" s="5"/>
      <c r="C879" s="5"/>
      <c r="D879" s="5"/>
      <c r="E879" s="5"/>
      <c r="F879" s="5"/>
      <c r="P879" s="33"/>
      <c r="Q879" s="33"/>
      <c r="R879" s="33"/>
      <c r="S879" s="33"/>
      <c r="T879" s="33"/>
    </row>
    <row r="880" spans="2:20" ht="15.75" customHeight="1">
      <c r="B880" s="5"/>
      <c r="C880" s="5"/>
      <c r="D880" s="5"/>
      <c r="E880" s="5"/>
      <c r="F880" s="5"/>
      <c r="P880" s="33"/>
      <c r="Q880" s="33"/>
      <c r="R880" s="33"/>
      <c r="S880" s="33"/>
      <c r="T880" s="33"/>
    </row>
    <row r="881" spans="2:20" ht="15.75" customHeight="1">
      <c r="B881" s="5"/>
      <c r="C881" s="5"/>
      <c r="D881" s="5"/>
      <c r="E881" s="5"/>
      <c r="F881" s="5"/>
      <c r="P881" s="33"/>
      <c r="Q881" s="33"/>
      <c r="R881" s="33"/>
      <c r="S881" s="33"/>
      <c r="T881" s="33"/>
    </row>
    <row r="882" spans="2:20" ht="15.75" customHeight="1">
      <c r="B882" s="5"/>
      <c r="C882" s="5"/>
      <c r="D882" s="5"/>
      <c r="E882" s="5"/>
      <c r="F882" s="5"/>
      <c r="P882" s="33"/>
      <c r="Q882" s="33"/>
      <c r="R882" s="33"/>
      <c r="S882" s="33"/>
      <c r="T882" s="33"/>
    </row>
    <row r="883" spans="2:20" ht="15.75" customHeight="1">
      <c r="B883" s="5"/>
      <c r="C883" s="5"/>
      <c r="D883" s="5"/>
      <c r="E883" s="5"/>
      <c r="F883" s="5"/>
      <c r="P883" s="33"/>
      <c r="Q883" s="33"/>
      <c r="R883" s="33"/>
      <c r="S883" s="33"/>
      <c r="T883" s="33"/>
    </row>
    <row r="884" spans="2:20" ht="15.75" customHeight="1">
      <c r="B884" s="5"/>
      <c r="C884" s="5"/>
      <c r="D884" s="5"/>
      <c r="E884" s="5"/>
      <c r="F884" s="5"/>
      <c r="P884" s="33"/>
      <c r="Q884" s="33"/>
      <c r="R884" s="33"/>
      <c r="S884" s="33"/>
      <c r="T884" s="33"/>
    </row>
    <row r="885" spans="2:20" ht="15.75" customHeight="1">
      <c r="B885" s="5"/>
      <c r="C885" s="5"/>
      <c r="D885" s="5"/>
      <c r="E885" s="5"/>
      <c r="F885" s="5"/>
      <c r="P885" s="33"/>
      <c r="Q885" s="33"/>
      <c r="R885" s="33"/>
      <c r="S885" s="33"/>
      <c r="T885" s="33"/>
    </row>
    <row r="886" spans="2:20" ht="15.75" customHeight="1">
      <c r="B886" s="5"/>
      <c r="C886" s="5"/>
      <c r="D886" s="5"/>
      <c r="E886" s="5"/>
      <c r="F886" s="5"/>
      <c r="P886" s="33"/>
      <c r="Q886" s="33"/>
      <c r="R886" s="33"/>
      <c r="S886" s="33"/>
      <c r="T886" s="33"/>
    </row>
    <row r="887" spans="2:20" ht="15.75" customHeight="1">
      <c r="B887" s="5"/>
      <c r="C887" s="5"/>
      <c r="D887" s="5"/>
      <c r="E887" s="5"/>
      <c r="F887" s="5"/>
      <c r="P887" s="33"/>
      <c r="Q887" s="33"/>
      <c r="R887" s="33"/>
      <c r="S887" s="33"/>
      <c r="T887" s="33"/>
    </row>
    <row r="888" spans="2:20" ht="15.75" customHeight="1">
      <c r="B888" s="5"/>
      <c r="C888" s="5"/>
      <c r="D888" s="5"/>
      <c r="E888" s="5"/>
      <c r="F888" s="5"/>
      <c r="P888" s="33"/>
      <c r="Q888" s="33"/>
      <c r="R888" s="33"/>
      <c r="S888" s="33"/>
      <c r="T888" s="33"/>
    </row>
    <row r="889" spans="2:20" ht="15.75" customHeight="1">
      <c r="B889" s="5"/>
      <c r="C889" s="5"/>
      <c r="D889" s="5"/>
      <c r="E889" s="5"/>
      <c r="F889" s="5"/>
      <c r="P889" s="33"/>
      <c r="Q889" s="33"/>
      <c r="R889" s="33"/>
      <c r="S889" s="33"/>
      <c r="T889" s="33"/>
    </row>
    <row r="890" spans="2:20" ht="15.75" customHeight="1">
      <c r="B890" s="5"/>
      <c r="C890" s="5"/>
      <c r="D890" s="5"/>
      <c r="E890" s="5"/>
      <c r="F890" s="5"/>
      <c r="P890" s="33"/>
      <c r="Q890" s="33"/>
      <c r="R890" s="33"/>
      <c r="S890" s="33"/>
      <c r="T890" s="33"/>
    </row>
    <row r="891" spans="2:20" ht="15.75" customHeight="1">
      <c r="B891" s="5"/>
      <c r="C891" s="5"/>
      <c r="D891" s="5"/>
      <c r="E891" s="5"/>
      <c r="F891" s="5"/>
      <c r="P891" s="33"/>
      <c r="Q891" s="33"/>
      <c r="R891" s="33"/>
      <c r="S891" s="33"/>
      <c r="T891" s="33"/>
    </row>
    <row r="892" spans="2:20" ht="15.75" customHeight="1">
      <c r="B892" s="5"/>
      <c r="C892" s="5"/>
      <c r="D892" s="5"/>
      <c r="E892" s="5"/>
      <c r="F892" s="5"/>
      <c r="P892" s="33"/>
      <c r="Q892" s="33"/>
      <c r="R892" s="33"/>
      <c r="S892" s="33"/>
      <c r="T892" s="33"/>
    </row>
    <row r="893" spans="2:20" ht="15.75" customHeight="1">
      <c r="B893" s="5"/>
      <c r="C893" s="5"/>
      <c r="D893" s="5"/>
      <c r="E893" s="5"/>
      <c r="F893" s="5"/>
      <c r="P893" s="33"/>
      <c r="Q893" s="33"/>
      <c r="R893" s="33"/>
      <c r="S893" s="33"/>
      <c r="T893" s="33"/>
    </row>
    <row r="894" spans="2:20" ht="15.75" customHeight="1">
      <c r="B894" s="5"/>
      <c r="C894" s="5"/>
      <c r="D894" s="5"/>
      <c r="E894" s="5"/>
      <c r="F894" s="5"/>
      <c r="P894" s="33"/>
      <c r="Q894" s="33"/>
      <c r="R894" s="33"/>
      <c r="S894" s="33"/>
      <c r="T894" s="33"/>
    </row>
    <row r="895" spans="2:20" ht="15.75" customHeight="1">
      <c r="B895" s="5"/>
      <c r="C895" s="5"/>
      <c r="D895" s="5"/>
      <c r="E895" s="5"/>
      <c r="F895" s="5"/>
      <c r="P895" s="33"/>
      <c r="Q895" s="33"/>
      <c r="R895" s="33"/>
      <c r="S895" s="33"/>
      <c r="T895" s="33"/>
    </row>
    <row r="896" spans="2:20" ht="15.75" customHeight="1">
      <c r="B896" s="5"/>
      <c r="C896" s="5"/>
      <c r="D896" s="5"/>
      <c r="E896" s="5"/>
      <c r="F896" s="5"/>
      <c r="P896" s="33"/>
      <c r="Q896" s="33"/>
      <c r="R896" s="33"/>
      <c r="S896" s="33"/>
      <c r="T896" s="33"/>
    </row>
    <row r="897" spans="2:20" ht="15.75" customHeight="1">
      <c r="B897" s="5"/>
      <c r="C897" s="5"/>
      <c r="D897" s="5"/>
      <c r="E897" s="5"/>
      <c r="F897" s="5"/>
      <c r="P897" s="33"/>
      <c r="Q897" s="33"/>
      <c r="R897" s="33"/>
      <c r="S897" s="33"/>
      <c r="T897" s="33"/>
    </row>
    <row r="898" spans="2:20" ht="15.75" customHeight="1">
      <c r="B898" s="5"/>
      <c r="C898" s="5"/>
      <c r="D898" s="5"/>
      <c r="E898" s="5"/>
      <c r="F898" s="5"/>
      <c r="P898" s="33"/>
      <c r="Q898" s="33"/>
      <c r="R898" s="33"/>
      <c r="S898" s="33"/>
      <c r="T898" s="33"/>
    </row>
    <row r="899" spans="2:20" ht="15.75" customHeight="1">
      <c r="B899" s="5"/>
      <c r="C899" s="5"/>
      <c r="D899" s="5"/>
      <c r="E899" s="5"/>
      <c r="F899" s="5"/>
      <c r="P899" s="33"/>
      <c r="Q899" s="33"/>
      <c r="R899" s="33"/>
      <c r="S899" s="33"/>
      <c r="T899" s="33"/>
    </row>
    <row r="900" spans="2:20" ht="15.75" customHeight="1">
      <c r="B900" s="5"/>
      <c r="C900" s="5"/>
      <c r="D900" s="5"/>
      <c r="E900" s="5"/>
      <c r="F900" s="5"/>
      <c r="P900" s="33"/>
      <c r="Q900" s="33"/>
      <c r="R900" s="33"/>
      <c r="S900" s="33"/>
      <c r="T900" s="33"/>
    </row>
    <row r="901" spans="2:20" ht="15.75" customHeight="1">
      <c r="B901" s="5"/>
      <c r="C901" s="5"/>
      <c r="D901" s="5"/>
      <c r="E901" s="5"/>
      <c r="F901" s="5"/>
      <c r="P901" s="33"/>
      <c r="Q901" s="33"/>
      <c r="R901" s="33"/>
      <c r="S901" s="33"/>
      <c r="T901" s="33"/>
    </row>
    <row r="902" spans="2:20" ht="15.75" customHeight="1">
      <c r="B902" s="5"/>
      <c r="C902" s="5"/>
      <c r="D902" s="5"/>
      <c r="E902" s="5"/>
      <c r="F902" s="5"/>
      <c r="P902" s="33"/>
      <c r="Q902" s="33"/>
      <c r="R902" s="33"/>
      <c r="S902" s="33"/>
      <c r="T902" s="33"/>
    </row>
    <row r="903" spans="2:20" ht="15.75" customHeight="1">
      <c r="B903" s="5"/>
      <c r="C903" s="5"/>
      <c r="D903" s="5"/>
      <c r="E903" s="5"/>
      <c r="F903" s="5"/>
      <c r="P903" s="33"/>
      <c r="Q903" s="33"/>
      <c r="R903" s="33"/>
      <c r="S903" s="33"/>
      <c r="T903" s="33"/>
    </row>
    <row r="904" spans="2:20" ht="15.75" customHeight="1">
      <c r="B904" s="5"/>
      <c r="C904" s="5"/>
      <c r="D904" s="5"/>
      <c r="E904" s="5"/>
      <c r="F904" s="5"/>
      <c r="P904" s="33"/>
      <c r="Q904" s="33"/>
      <c r="R904" s="33"/>
      <c r="S904" s="33"/>
      <c r="T904" s="33"/>
    </row>
    <row r="905" spans="2:20" ht="15.75" customHeight="1">
      <c r="B905" s="5"/>
      <c r="C905" s="5"/>
      <c r="D905" s="5"/>
      <c r="E905" s="5"/>
      <c r="F905" s="5"/>
      <c r="P905" s="33"/>
      <c r="Q905" s="33"/>
      <c r="R905" s="33"/>
      <c r="S905" s="33"/>
      <c r="T905" s="33"/>
    </row>
    <row r="906" spans="2:20" ht="15.75" customHeight="1">
      <c r="B906" s="5"/>
      <c r="C906" s="5"/>
      <c r="D906" s="5"/>
      <c r="E906" s="5"/>
      <c r="F906" s="5"/>
      <c r="P906" s="33"/>
      <c r="Q906" s="33"/>
      <c r="R906" s="33"/>
      <c r="S906" s="33"/>
      <c r="T906" s="33"/>
    </row>
    <row r="907" spans="2:20" ht="15.75" customHeight="1">
      <c r="B907" s="5"/>
      <c r="C907" s="5"/>
      <c r="D907" s="5"/>
      <c r="E907" s="5"/>
      <c r="F907" s="5"/>
      <c r="P907" s="33"/>
      <c r="Q907" s="33"/>
      <c r="R907" s="33"/>
      <c r="S907" s="33"/>
      <c r="T907" s="33"/>
    </row>
    <row r="908" spans="2:20" ht="15.75" customHeight="1">
      <c r="B908" s="5"/>
      <c r="C908" s="5"/>
      <c r="D908" s="5"/>
      <c r="E908" s="5"/>
      <c r="F908" s="5"/>
      <c r="P908" s="33"/>
      <c r="Q908" s="33"/>
      <c r="R908" s="33"/>
      <c r="S908" s="33"/>
      <c r="T908" s="33"/>
    </row>
    <row r="909" spans="2:20" ht="15.75" customHeight="1">
      <c r="B909" s="5"/>
      <c r="C909" s="5"/>
      <c r="D909" s="5"/>
      <c r="E909" s="5"/>
      <c r="F909" s="5"/>
      <c r="P909" s="33"/>
      <c r="Q909" s="33"/>
      <c r="R909" s="33"/>
      <c r="S909" s="33"/>
      <c r="T909" s="33"/>
    </row>
    <row r="910" spans="2:20" ht="15.75" customHeight="1">
      <c r="B910" s="5"/>
      <c r="C910" s="5"/>
      <c r="D910" s="5"/>
      <c r="E910" s="5"/>
      <c r="F910" s="5"/>
      <c r="P910" s="33"/>
      <c r="Q910" s="33"/>
      <c r="R910" s="33"/>
      <c r="S910" s="33"/>
      <c r="T910" s="33"/>
    </row>
    <row r="911" spans="2:20" ht="15.75" customHeight="1">
      <c r="B911" s="5"/>
      <c r="C911" s="5"/>
      <c r="D911" s="5"/>
      <c r="E911" s="5"/>
      <c r="F911" s="5"/>
      <c r="P911" s="33"/>
      <c r="Q911" s="33"/>
      <c r="R911" s="33"/>
      <c r="S911" s="33"/>
      <c r="T911" s="33"/>
    </row>
    <row r="912" spans="2:20" ht="15.75" customHeight="1">
      <c r="B912" s="5"/>
      <c r="C912" s="5"/>
      <c r="D912" s="5"/>
      <c r="E912" s="5"/>
      <c r="F912" s="5"/>
      <c r="P912" s="33"/>
      <c r="Q912" s="33"/>
      <c r="R912" s="33"/>
      <c r="S912" s="33"/>
      <c r="T912" s="33"/>
    </row>
    <row r="913" spans="2:20" ht="15.75" customHeight="1">
      <c r="B913" s="5"/>
      <c r="C913" s="5"/>
      <c r="D913" s="5"/>
      <c r="E913" s="5"/>
      <c r="F913" s="5"/>
      <c r="P913" s="33"/>
      <c r="Q913" s="33"/>
      <c r="R913" s="33"/>
      <c r="S913" s="33"/>
      <c r="T913" s="33"/>
    </row>
    <row r="914" spans="2:20" ht="15.75" customHeight="1">
      <c r="B914" s="5"/>
      <c r="C914" s="5"/>
      <c r="D914" s="5"/>
      <c r="E914" s="5"/>
      <c r="F914" s="5"/>
      <c r="P914" s="33"/>
      <c r="Q914" s="33"/>
      <c r="R914" s="33"/>
      <c r="S914" s="33"/>
      <c r="T914" s="33"/>
    </row>
    <row r="915" spans="2:20" ht="15.75" customHeight="1">
      <c r="B915" s="5"/>
      <c r="C915" s="5"/>
      <c r="D915" s="5"/>
      <c r="E915" s="5"/>
      <c r="F915" s="5"/>
      <c r="P915" s="33"/>
      <c r="Q915" s="33"/>
      <c r="R915" s="33"/>
      <c r="S915" s="33"/>
      <c r="T915" s="33"/>
    </row>
    <row r="916" spans="2:20" ht="15.75" customHeight="1">
      <c r="B916" s="5"/>
      <c r="C916" s="5"/>
      <c r="D916" s="5"/>
      <c r="E916" s="5"/>
      <c r="F916" s="5"/>
      <c r="P916" s="33"/>
      <c r="Q916" s="33"/>
      <c r="R916" s="33"/>
      <c r="S916" s="33"/>
      <c r="T916" s="33"/>
    </row>
    <row r="917" spans="2:20" ht="15.75" customHeight="1">
      <c r="B917" s="5"/>
      <c r="C917" s="5"/>
      <c r="D917" s="5"/>
      <c r="E917" s="5"/>
      <c r="F917" s="5"/>
      <c r="P917" s="33"/>
      <c r="Q917" s="33"/>
      <c r="R917" s="33"/>
      <c r="S917" s="33"/>
      <c r="T917" s="33"/>
    </row>
    <row r="918" spans="2:20" ht="15.75" customHeight="1">
      <c r="B918" s="5"/>
      <c r="C918" s="5"/>
      <c r="D918" s="5"/>
      <c r="E918" s="5"/>
      <c r="F918" s="5"/>
      <c r="P918" s="33"/>
      <c r="Q918" s="33"/>
      <c r="R918" s="33"/>
      <c r="S918" s="33"/>
      <c r="T918" s="33"/>
    </row>
    <row r="919" spans="2:20" ht="15.75" customHeight="1">
      <c r="B919" s="5"/>
      <c r="C919" s="5"/>
      <c r="D919" s="5"/>
      <c r="E919" s="5"/>
      <c r="F919" s="5"/>
      <c r="P919" s="33"/>
      <c r="Q919" s="33"/>
      <c r="R919" s="33"/>
      <c r="S919" s="33"/>
      <c r="T919" s="33"/>
    </row>
    <row r="920" spans="2:20" ht="15.75" customHeight="1">
      <c r="B920" s="5"/>
      <c r="C920" s="5"/>
      <c r="D920" s="5"/>
      <c r="E920" s="5"/>
      <c r="F920" s="5"/>
      <c r="P920" s="33"/>
      <c r="Q920" s="33"/>
      <c r="R920" s="33"/>
      <c r="S920" s="33"/>
      <c r="T920" s="33"/>
    </row>
    <row r="921" spans="2:20" ht="15.75" customHeight="1">
      <c r="B921" s="5"/>
      <c r="C921" s="5"/>
      <c r="D921" s="5"/>
      <c r="E921" s="5"/>
      <c r="F921" s="5"/>
      <c r="P921" s="33"/>
      <c r="Q921" s="33"/>
      <c r="R921" s="33"/>
      <c r="S921" s="33"/>
      <c r="T921" s="33"/>
    </row>
    <row r="922" spans="2:20" ht="15.75" customHeight="1">
      <c r="B922" s="5"/>
      <c r="C922" s="5"/>
      <c r="D922" s="5"/>
      <c r="E922" s="5"/>
      <c r="F922" s="5"/>
      <c r="P922" s="33"/>
      <c r="Q922" s="33"/>
      <c r="R922" s="33"/>
      <c r="S922" s="33"/>
      <c r="T922" s="33"/>
    </row>
    <row r="923" spans="2:20" ht="15.75" customHeight="1">
      <c r="B923" s="5"/>
      <c r="C923" s="5"/>
      <c r="D923" s="5"/>
      <c r="E923" s="5"/>
      <c r="F923" s="5"/>
      <c r="P923" s="33"/>
      <c r="Q923" s="33"/>
      <c r="R923" s="33"/>
      <c r="S923" s="33"/>
      <c r="T923" s="33"/>
    </row>
    <row r="924" spans="2:20" ht="15.75" customHeight="1">
      <c r="B924" s="5"/>
      <c r="C924" s="5"/>
      <c r="D924" s="5"/>
      <c r="E924" s="5"/>
      <c r="F924" s="5"/>
      <c r="P924" s="33"/>
      <c r="Q924" s="33"/>
      <c r="R924" s="33"/>
      <c r="S924" s="33"/>
      <c r="T924" s="33"/>
    </row>
    <row r="925" spans="2:20" ht="15.75" customHeight="1">
      <c r="B925" s="5"/>
      <c r="C925" s="5"/>
      <c r="D925" s="5"/>
      <c r="E925" s="5"/>
      <c r="F925" s="5"/>
      <c r="P925" s="33"/>
      <c r="Q925" s="33"/>
      <c r="R925" s="33"/>
      <c r="S925" s="33"/>
      <c r="T925" s="33"/>
    </row>
    <row r="926" spans="2:20" ht="15.75" customHeight="1">
      <c r="B926" s="5"/>
      <c r="C926" s="5"/>
      <c r="D926" s="5"/>
      <c r="E926" s="5"/>
      <c r="F926" s="5"/>
      <c r="P926" s="33"/>
      <c r="Q926" s="33"/>
      <c r="R926" s="33"/>
      <c r="S926" s="33"/>
      <c r="T926" s="33"/>
    </row>
    <row r="927" spans="2:20" ht="15.75" customHeight="1">
      <c r="B927" s="5"/>
      <c r="C927" s="5"/>
      <c r="D927" s="5"/>
      <c r="E927" s="5"/>
      <c r="F927" s="5"/>
      <c r="P927" s="33"/>
      <c r="Q927" s="33"/>
      <c r="R927" s="33"/>
      <c r="S927" s="33"/>
      <c r="T927" s="33"/>
    </row>
    <row r="928" spans="2:20" ht="15.75" customHeight="1">
      <c r="B928" s="5"/>
      <c r="C928" s="5"/>
      <c r="D928" s="5"/>
      <c r="E928" s="5"/>
      <c r="F928" s="5"/>
      <c r="P928" s="33"/>
      <c r="Q928" s="33"/>
      <c r="R928" s="33"/>
      <c r="S928" s="33"/>
      <c r="T928" s="33"/>
    </row>
    <row r="929" spans="2:20" ht="15.75" customHeight="1">
      <c r="B929" s="5"/>
      <c r="C929" s="5"/>
      <c r="D929" s="5"/>
      <c r="E929" s="5"/>
      <c r="F929" s="5"/>
      <c r="P929" s="33"/>
      <c r="Q929" s="33"/>
      <c r="R929" s="33"/>
      <c r="S929" s="33"/>
      <c r="T929" s="33"/>
    </row>
    <row r="930" spans="2:20" ht="15.75" customHeight="1">
      <c r="B930" s="5"/>
      <c r="C930" s="5"/>
      <c r="D930" s="5"/>
      <c r="E930" s="5"/>
      <c r="F930" s="5"/>
      <c r="P930" s="33"/>
      <c r="Q930" s="33"/>
      <c r="R930" s="33"/>
      <c r="S930" s="33"/>
      <c r="T930" s="33"/>
    </row>
    <row r="931" spans="2:20" ht="15.75" customHeight="1">
      <c r="B931" s="5"/>
      <c r="C931" s="5"/>
      <c r="D931" s="5"/>
      <c r="E931" s="5"/>
      <c r="F931" s="5"/>
      <c r="P931" s="33"/>
      <c r="Q931" s="33"/>
      <c r="R931" s="33"/>
      <c r="S931" s="33"/>
      <c r="T931" s="33"/>
    </row>
    <row r="932" spans="2:20" ht="15.75" customHeight="1">
      <c r="B932" s="5"/>
      <c r="C932" s="5"/>
      <c r="D932" s="5"/>
      <c r="E932" s="5"/>
      <c r="F932" s="5"/>
      <c r="P932" s="33"/>
      <c r="Q932" s="33"/>
      <c r="R932" s="33"/>
      <c r="S932" s="33"/>
      <c r="T932" s="33"/>
    </row>
    <row r="933" spans="2:20" ht="15.75" customHeight="1">
      <c r="B933" s="5"/>
      <c r="C933" s="5"/>
      <c r="D933" s="5"/>
      <c r="E933" s="5"/>
      <c r="F933" s="5"/>
      <c r="P933" s="33"/>
      <c r="Q933" s="33"/>
      <c r="R933" s="33"/>
      <c r="S933" s="33"/>
      <c r="T933" s="33"/>
    </row>
    <row r="934" spans="2:20" ht="15.75" customHeight="1">
      <c r="B934" s="5"/>
      <c r="C934" s="5"/>
      <c r="D934" s="5"/>
      <c r="E934" s="5"/>
      <c r="F934" s="5"/>
      <c r="P934" s="33"/>
      <c r="Q934" s="33"/>
      <c r="R934" s="33"/>
      <c r="S934" s="33"/>
      <c r="T934" s="33"/>
    </row>
    <row r="935" spans="2:20" ht="15.75" customHeight="1">
      <c r="B935" s="5"/>
      <c r="C935" s="5"/>
      <c r="D935" s="5"/>
      <c r="E935" s="5"/>
      <c r="F935" s="5"/>
      <c r="P935" s="33"/>
      <c r="Q935" s="33"/>
      <c r="R935" s="33"/>
      <c r="S935" s="33"/>
      <c r="T935" s="33"/>
    </row>
    <row r="936" spans="2:20" ht="15.75" customHeight="1">
      <c r="B936" s="5"/>
      <c r="C936" s="5"/>
      <c r="D936" s="5"/>
      <c r="E936" s="5"/>
      <c r="F936" s="5"/>
      <c r="P936" s="33"/>
      <c r="Q936" s="33"/>
      <c r="R936" s="33"/>
      <c r="S936" s="33"/>
      <c r="T936" s="33"/>
    </row>
    <row r="937" spans="2:20" ht="15.75" customHeight="1">
      <c r="B937" s="5"/>
      <c r="C937" s="5"/>
      <c r="D937" s="5"/>
      <c r="E937" s="5"/>
      <c r="F937" s="5"/>
      <c r="P937" s="33"/>
      <c r="Q937" s="33"/>
      <c r="R937" s="33"/>
      <c r="S937" s="33"/>
      <c r="T937" s="33"/>
    </row>
    <row r="938" spans="2:20" ht="15.75" customHeight="1">
      <c r="B938" s="5"/>
      <c r="C938" s="5"/>
      <c r="D938" s="5"/>
      <c r="E938" s="5"/>
      <c r="F938" s="5"/>
      <c r="P938" s="33"/>
      <c r="Q938" s="33"/>
      <c r="R938" s="33"/>
      <c r="S938" s="33"/>
      <c r="T938" s="33"/>
    </row>
    <row r="939" spans="2:20" ht="15.75" customHeight="1">
      <c r="B939" s="5"/>
      <c r="C939" s="5"/>
      <c r="D939" s="5"/>
      <c r="E939" s="5"/>
      <c r="F939" s="5"/>
      <c r="P939" s="33"/>
      <c r="Q939" s="33"/>
      <c r="R939" s="33"/>
      <c r="S939" s="33"/>
      <c r="T939" s="33"/>
    </row>
    <row r="940" spans="2:20" ht="15.75" customHeight="1">
      <c r="B940" s="5"/>
      <c r="C940" s="5"/>
      <c r="D940" s="5"/>
      <c r="E940" s="5"/>
      <c r="F940" s="5"/>
      <c r="P940" s="33"/>
      <c r="Q940" s="33"/>
      <c r="R940" s="33"/>
      <c r="S940" s="33"/>
      <c r="T940" s="33"/>
    </row>
    <row r="941" spans="2:20" ht="15.75" customHeight="1">
      <c r="B941" s="5"/>
      <c r="C941" s="5"/>
      <c r="D941" s="5"/>
      <c r="E941" s="5"/>
      <c r="F941" s="5"/>
      <c r="P941" s="33"/>
      <c r="Q941" s="33"/>
      <c r="R941" s="33"/>
      <c r="S941" s="33"/>
      <c r="T941" s="33"/>
    </row>
    <row r="942" spans="2:20" ht="15.75" customHeight="1">
      <c r="B942" s="5"/>
      <c r="C942" s="5"/>
      <c r="D942" s="5"/>
      <c r="E942" s="5"/>
      <c r="F942" s="5"/>
      <c r="P942" s="33"/>
      <c r="Q942" s="33"/>
      <c r="R942" s="33"/>
      <c r="S942" s="33"/>
      <c r="T942" s="33"/>
    </row>
    <row r="943" spans="2:20" ht="15.75" customHeight="1">
      <c r="B943" s="5"/>
      <c r="C943" s="5"/>
      <c r="D943" s="5"/>
      <c r="E943" s="5"/>
      <c r="F943" s="5"/>
      <c r="P943" s="33"/>
      <c r="Q943" s="33"/>
      <c r="R943" s="33"/>
      <c r="S943" s="33"/>
      <c r="T943" s="33"/>
    </row>
    <row r="944" spans="2:20" ht="15.75" customHeight="1">
      <c r="B944" s="5"/>
      <c r="C944" s="5"/>
      <c r="D944" s="5"/>
      <c r="E944" s="5"/>
      <c r="F944" s="5"/>
      <c r="P944" s="33"/>
      <c r="Q944" s="33"/>
      <c r="R944" s="33"/>
      <c r="S944" s="33"/>
      <c r="T944" s="33"/>
    </row>
    <row r="945" spans="2:20" ht="15.75" customHeight="1">
      <c r="B945" s="5"/>
      <c r="C945" s="5"/>
      <c r="D945" s="5"/>
      <c r="E945" s="5"/>
      <c r="F945" s="5"/>
      <c r="P945" s="33"/>
      <c r="Q945" s="33"/>
      <c r="R945" s="33"/>
      <c r="S945" s="33"/>
      <c r="T945" s="33"/>
    </row>
    <row r="946" spans="2:20" ht="15.75" customHeight="1">
      <c r="B946" s="5"/>
      <c r="C946" s="5"/>
      <c r="D946" s="5"/>
      <c r="E946" s="5"/>
      <c r="F946" s="5"/>
      <c r="P946" s="33"/>
      <c r="Q946" s="33"/>
      <c r="R946" s="33"/>
      <c r="S946" s="33"/>
      <c r="T946" s="33"/>
    </row>
    <row r="947" spans="2:20" ht="15.75" customHeight="1">
      <c r="B947" s="5"/>
      <c r="C947" s="5"/>
      <c r="D947" s="5"/>
      <c r="E947" s="5"/>
      <c r="F947" s="5"/>
      <c r="P947" s="33"/>
      <c r="Q947" s="33"/>
      <c r="R947" s="33"/>
      <c r="S947" s="33"/>
      <c r="T947" s="33"/>
    </row>
    <row r="948" spans="2:20" ht="15.75" customHeight="1">
      <c r="B948" s="5"/>
      <c r="C948" s="5"/>
      <c r="D948" s="5"/>
      <c r="E948" s="5"/>
      <c r="F948" s="5"/>
      <c r="P948" s="33"/>
      <c r="Q948" s="33"/>
      <c r="R948" s="33"/>
      <c r="S948" s="33"/>
      <c r="T948" s="33"/>
    </row>
    <row r="949" spans="2:20" ht="15.75" customHeight="1">
      <c r="B949" s="5"/>
      <c r="C949" s="5"/>
      <c r="D949" s="5"/>
      <c r="E949" s="5"/>
      <c r="F949" s="5"/>
      <c r="P949" s="33"/>
      <c r="Q949" s="33"/>
      <c r="R949" s="33"/>
      <c r="S949" s="33"/>
      <c r="T949" s="33"/>
    </row>
    <row r="950" spans="2:20" ht="15.75" customHeight="1">
      <c r="B950" s="5"/>
      <c r="C950" s="5"/>
      <c r="D950" s="5"/>
      <c r="E950" s="5"/>
      <c r="F950" s="5"/>
      <c r="P950" s="33"/>
      <c r="Q950" s="33"/>
      <c r="R950" s="33"/>
      <c r="S950" s="33"/>
      <c r="T950" s="33"/>
    </row>
    <row r="951" spans="2:20" ht="15.75" customHeight="1">
      <c r="B951" s="5"/>
      <c r="C951" s="5"/>
      <c r="D951" s="5"/>
      <c r="E951" s="5"/>
      <c r="F951" s="5"/>
      <c r="P951" s="33"/>
      <c r="Q951" s="33"/>
      <c r="R951" s="33"/>
      <c r="S951" s="33"/>
      <c r="T951" s="33"/>
    </row>
    <row r="952" spans="2:20" ht="15.75" customHeight="1">
      <c r="B952" s="5"/>
      <c r="C952" s="5"/>
      <c r="D952" s="5"/>
      <c r="E952" s="5"/>
      <c r="F952" s="5"/>
      <c r="P952" s="33"/>
      <c r="Q952" s="33"/>
      <c r="R952" s="33"/>
      <c r="S952" s="33"/>
      <c r="T952" s="33"/>
    </row>
    <row r="953" spans="2:20" ht="15.75" customHeight="1">
      <c r="B953" s="5"/>
      <c r="C953" s="5"/>
      <c r="D953" s="5"/>
      <c r="E953" s="5"/>
      <c r="F953" s="5"/>
      <c r="P953" s="33"/>
      <c r="Q953" s="33"/>
      <c r="R953" s="33"/>
      <c r="S953" s="33"/>
      <c r="T953" s="33"/>
    </row>
    <row r="954" spans="2:20" ht="15.75" customHeight="1">
      <c r="B954" s="5"/>
      <c r="C954" s="5"/>
      <c r="D954" s="5"/>
      <c r="E954" s="5"/>
      <c r="F954" s="5"/>
      <c r="P954" s="33"/>
      <c r="Q954" s="33"/>
      <c r="R954" s="33"/>
      <c r="S954" s="33"/>
      <c r="T954" s="33"/>
    </row>
    <row r="955" spans="2:20" ht="15.75" customHeight="1">
      <c r="B955" s="5"/>
      <c r="C955" s="5"/>
      <c r="D955" s="5"/>
      <c r="E955" s="5"/>
      <c r="F955" s="5"/>
      <c r="P955" s="33"/>
      <c r="Q955" s="33"/>
      <c r="R955" s="33"/>
      <c r="S955" s="33"/>
      <c r="T955" s="33"/>
    </row>
    <row r="956" spans="2:20" ht="15.75" customHeight="1">
      <c r="B956" s="5"/>
      <c r="C956" s="5"/>
      <c r="D956" s="5"/>
      <c r="E956" s="5"/>
      <c r="F956" s="5"/>
      <c r="P956" s="33"/>
      <c r="Q956" s="33"/>
      <c r="R956" s="33"/>
      <c r="S956" s="33"/>
      <c r="T956" s="33"/>
    </row>
    <row r="957" spans="2:20" ht="15.75" customHeight="1">
      <c r="B957" s="5"/>
      <c r="C957" s="5"/>
      <c r="D957" s="5"/>
      <c r="E957" s="5"/>
      <c r="F957" s="5"/>
      <c r="P957" s="33"/>
      <c r="Q957" s="33"/>
      <c r="R957" s="33"/>
      <c r="S957" s="33"/>
      <c r="T957" s="33"/>
    </row>
    <row r="958" spans="2:20" ht="15.75" customHeight="1">
      <c r="B958" s="5"/>
      <c r="C958" s="5"/>
      <c r="D958" s="5"/>
      <c r="E958" s="5"/>
      <c r="F958" s="5"/>
      <c r="P958" s="33"/>
      <c r="Q958" s="33"/>
      <c r="R958" s="33"/>
      <c r="S958" s="33"/>
      <c r="T958" s="33"/>
    </row>
    <row r="959" spans="2:20" ht="15.75" customHeight="1">
      <c r="B959" s="5"/>
      <c r="C959" s="5"/>
      <c r="D959" s="5"/>
      <c r="E959" s="5"/>
      <c r="F959" s="5"/>
      <c r="P959" s="33"/>
      <c r="Q959" s="33"/>
      <c r="R959" s="33"/>
      <c r="S959" s="33"/>
      <c r="T959" s="33"/>
    </row>
    <row r="960" spans="2:20" ht="15.75" customHeight="1">
      <c r="B960" s="5"/>
      <c r="C960" s="5"/>
      <c r="D960" s="5"/>
      <c r="E960" s="5"/>
      <c r="F960" s="5"/>
      <c r="P960" s="33"/>
      <c r="Q960" s="33"/>
      <c r="R960" s="33"/>
      <c r="S960" s="33"/>
      <c r="T960" s="33"/>
    </row>
    <row r="961" spans="2:20" ht="15.75" customHeight="1">
      <c r="B961" s="5"/>
      <c r="C961" s="5"/>
      <c r="D961" s="5"/>
      <c r="E961" s="5"/>
      <c r="F961" s="5"/>
      <c r="P961" s="33"/>
      <c r="Q961" s="33"/>
      <c r="R961" s="33"/>
      <c r="S961" s="33"/>
      <c r="T961" s="33"/>
    </row>
    <row r="962" spans="2:20" ht="15.75" customHeight="1">
      <c r="B962" s="5"/>
      <c r="C962" s="5"/>
      <c r="D962" s="5"/>
      <c r="E962" s="5"/>
      <c r="F962" s="5"/>
      <c r="P962" s="33"/>
      <c r="Q962" s="33"/>
      <c r="R962" s="33"/>
      <c r="S962" s="33"/>
      <c r="T962" s="33"/>
    </row>
    <row r="963" spans="2:20" ht="15.75" customHeight="1">
      <c r="B963" s="5"/>
      <c r="C963" s="5"/>
      <c r="D963" s="5"/>
      <c r="E963" s="5"/>
      <c r="F963" s="5"/>
      <c r="P963" s="33"/>
      <c r="Q963" s="33"/>
      <c r="R963" s="33"/>
      <c r="S963" s="33"/>
      <c r="T963" s="33"/>
    </row>
    <row r="964" spans="2:20" ht="15.75" customHeight="1">
      <c r="B964" s="5"/>
      <c r="C964" s="5"/>
      <c r="D964" s="5"/>
      <c r="E964" s="5"/>
      <c r="F964" s="5"/>
      <c r="P964" s="33"/>
      <c r="Q964" s="33"/>
      <c r="R964" s="33"/>
      <c r="S964" s="33"/>
      <c r="T964" s="33"/>
    </row>
    <row r="965" spans="2:20" ht="15.75" customHeight="1">
      <c r="B965" s="5"/>
      <c r="C965" s="5"/>
      <c r="D965" s="5"/>
      <c r="E965" s="5"/>
      <c r="F965" s="5"/>
      <c r="P965" s="33"/>
      <c r="Q965" s="33"/>
      <c r="R965" s="33"/>
      <c r="S965" s="33"/>
      <c r="T965" s="33"/>
    </row>
    <row r="966" spans="2:20" ht="15.75" customHeight="1">
      <c r="B966" s="5"/>
      <c r="C966" s="5"/>
      <c r="D966" s="5"/>
      <c r="E966" s="5"/>
      <c r="F966" s="5"/>
      <c r="P966" s="33"/>
      <c r="Q966" s="33"/>
      <c r="R966" s="33"/>
      <c r="S966" s="33"/>
      <c r="T966" s="33"/>
    </row>
    <row r="967" spans="2:20" ht="15.75" customHeight="1">
      <c r="B967" s="5"/>
      <c r="C967" s="5"/>
      <c r="D967" s="5"/>
      <c r="E967" s="5"/>
      <c r="F967" s="5"/>
      <c r="P967" s="33"/>
      <c r="Q967" s="33"/>
      <c r="R967" s="33"/>
      <c r="S967" s="33"/>
      <c r="T967" s="33"/>
    </row>
    <row r="968" spans="2:20" ht="15.75" customHeight="1">
      <c r="B968" s="5"/>
      <c r="C968" s="5"/>
      <c r="D968" s="5"/>
      <c r="E968" s="5"/>
      <c r="F968" s="5"/>
      <c r="P968" s="33"/>
      <c r="Q968" s="33"/>
      <c r="R968" s="33"/>
      <c r="S968" s="33"/>
      <c r="T968" s="33"/>
    </row>
    <row r="969" spans="2:20" ht="15.75" customHeight="1">
      <c r="B969" s="5"/>
      <c r="C969" s="5"/>
      <c r="D969" s="5"/>
      <c r="E969" s="5"/>
      <c r="F969" s="5"/>
      <c r="P969" s="33"/>
      <c r="Q969" s="33"/>
      <c r="R969" s="33"/>
      <c r="S969" s="33"/>
      <c r="T969" s="33"/>
    </row>
    <row r="970" spans="2:20" ht="15.75" customHeight="1">
      <c r="B970" s="5"/>
      <c r="C970" s="5"/>
      <c r="D970" s="5"/>
      <c r="E970" s="5"/>
      <c r="F970" s="5"/>
      <c r="P970" s="33"/>
      <c r="Q970" s="33"/>
      <c r="R970" s="33"/>
      <c r="S970" s="33"/>
      <c r="T970" s="33"/>
    </row>
    <row r="971" spans="2:20" ht="15.75" customHeight="1">
      <c r="B971" s="5"/>
      <c r="C971" s="5"/>
      <c r="D971" s="5"/>
      <c r="E971" s="5"/>
      <c r="F971" s="5"/>
      <c r="P971" s="33"/>
      <c r="Q971" s="33"/>
      <c r="R971" s="33"/>
      <c r="S971" s="33"/>
      <c r="T971" s="33"/>
    </row>
    <row r="972" spans="2:20" ht="15.75" customHeight="1">
      <c r="B972" s="5"/>
      <c r="C972" s="5"/>
      <c r="D972" s="5"/>
      <c r="E972" s="5"/>
      <c r="F972" s="5"/>
      <c r="P972" s="33"/>
      <c r="Q972" s="33"/>
      <c r="R972" s="33"/>
      <c r="S972" s="33"/>
      <c r="T972" s="33"/>
    </row>
    <row r="973" spans="2:20" ht="15.75" customHeight="1">
      <c r="B973" s="5"/>
      <c r="C973" s="5"/>
      <c r="D973" s="5"/>
      <c r="E973" s="5"/>
      <c r="F973" s="5"/>
      <c r="P973" s="33"/>
      <c r="Q973" s="33"/>
      <c r="R973" s="33"/>
      <c r="S973" s="33"/>
      <c r="T973" s="33"/>
    </row>
    <row r="974" spans="2:20" ht="15.75" customHeight="1">
      <c r="B974" s="5"/>
      <c r="C974" s="5"/>
      <c r="D974" s="5"/>
      <c r="E974" s="5"/>
      <c r="F974" s="5"/>
      <c r="P974" s="33"/>
      <c r="Q974" s="33"/>
      <c r="R974" s="33"/>
      <c r="S974" s="33"/>
      <c r="T974" s="33"/>
    </row>
    <row r="975" spans="2:20" ht="15.75" customHeight="1">
      <c r="B975" s="5"/>
      <c r="C975" s="5"/>
      <c r="D975" s="5"/>
      <c r="E975" s="5"/>
      <c r="F975" s="5"/>
      <c r="P975" s="33"/>
      <c r="Q975" s="33"/>
      <c r="R975" s="33"/>
      <c r="S975" s="33"/>
      <c r="T975" s="33"/>
    </row>
    <row r="976" spans="2:20" ht="15.75" customHeight="1">
      <c r="B976" s="5"/>
      <c r="C976" s="5"/>
      <c r="D976" s="5"/>
      <c r="E976" s="5"/>
      <c r="F976" s="5"/>
      <c r="P976" s="33"/>
      <c r="Q976" s="33"/>
      <c r="R976" s="33"/>
      <c r="S976" s="33"/>
      <c r="T976" s="33"/>
    </row>
    <row r="977" spans="2:20" ht="15.75" customHeight="1">
      <c r="B977" s="5"/>
      <c r="C977" s="5"/>
      <c r="D977" s="5"/>
      <c r="E977" s="5"/>
      <c r="F977" s="5"/>
      <c r="P977" s="33"/>
      <c r="Q977" s="33"/>
      <c r="R977" s="33"/>
      <c r="S977" s="33"/>
      <c r="T977" s="33"/>
    </row>
    <row r="978" spans="2:20" ht="15.75" customHeight="1">
      <c r="B978" s="5"/>
      <c r="C978" s="5"/>
      <c r="D978" s="5"/>
      <c r="E978" s="5"/>
      <c r="F978" s="5"/>
      <c r="P978" s="33"/>
      <c r="Q978" s="33"/>
      <c r="R978" s="33"/>
      <c r="S978" s="33"/>
      <c r="T978" s="33"/>
    </row>
    <row r="979" spans="2:20" ht="15.75" customHeight="1">
      <c r="B979" s="5"/>
      <c r="C979" s="5"/>
      <c r="D979" s="5"/>
      <c r="E979" s="5"/>
      <c r="F979" s="5"/>
      <c r="P979" s="33"/>
      <c r="Q979" s="33"/>
      <c r="R979" s="33"/>
      <c r="S979" s="33"/>
      <c r="T979" s="33"/>
    </row>
    <row r="980" spans="2:20" ht="15.75" customHeight="1">
      <c r="B980" s="5"/>
      <c r="C980" s="5"/>
      <c r="D980" s="5"/>
      <c r="E980" s="5"/>
      <c r="F980" s="5"/>
      <c r="P980" s="33"/>
      <c r="Q980" s="33"/>
      <c r="R980" s="33"/>
      <c r="S980" s="33"/>
      <c r="T980" s="33"/>
    </row>
    <row r="981" spans="2:20" ht="15.75" customHeight="1">
      <c r="B981" s="5"/>
      <c r="C981" s="5"/>
      <c r="D981" s="5"/>
      <c r="E981" s="5"/>
      <c r="F981" s="5"/>
      <c r="P981" s="33"/>
      <c r="Q981" s="33"/>
      <c r="R981" s="33"/>
      <c r="S981" s="33"/>
      <c r="T981" s="33"/>
    </row>
    <row r="982" spans="2:20" ht="15.75" customHeight="1">
      <c r="B982" s="5"/>
      <c r="C982" s="5"/>
      <c r="D982" s="5"/>
      <c r="E982" s="5"/>
      <c r="F982" s="5"/>
      <c r="P982" s="33"/>
      <c r="Q982" s="33"/>
      <c r="R982" s="33"/>
      <c r="S982" s="33"/>
      <c r="T982" s="33"/>
    </row>
    <row r="983" spans="2:20" ht="15.75" customHeight="1">
      <c r="B983" s="5"/>
      <c r="C983" s="5"/>
      <c r="D983" s="5"/>
      <c r="E983" s="5"/>
      <c r="F983" s="5"/>
      <c r="P983" s="33"/>
      <c r="Q983" s="33"/>
      <c r="R983" s="33"/>
      <c r="S983" s="33"/>
      <c r="T983" s="33"/>
    </row>
    <row r="984" spans="2:20" ht="15.75" customHeight="1">
      <c r="B984" s="5"/>
      <c r="C984" s="5"/>
      <c r="D984" s="5"/>
      <c r="E984" s="5"/>
      <c r="F984" s="5"/>
      <c r="P984" s="33"/>
      <c r="Q984" s="33"/>
      <c r="R984" s="33"/>
      <c r="S984" s="33"/>
      <c r="T984" s="33"/>
    </row>
    <row r="985" spans="2:20" ht="15.75" customHeight="1">
      <c r="B985" s="5"/>
      <c r="C985" s="5"/>
      <c r="D985" s="5"/>
      <c r="E985" s="5"/>
      <c r="F985" s="5"/>
      <c r="P985" s="33"/>
      <c r="Q985" s="33"/>
      <c r="R985" s="33"/>
      <c r="S985" s="33"/>
      <c r="T985" s="33"/>
    </row>
    <row r="986" spans="2:20" ht="15.75" customHeight="1">
      <c r="B986" s="5"/>
      <c r="C986" s="5"/>
      <c r="D986" s="5"/>
      <c r="E986" s="5"/>
      <c r="F986" s="5"/>
      <c r="P986" s="33"/>
      <c r="Q986" s="33"/>
      <c r="R986" s="33"/>
      <c r="S986" s="33"/>
      <c r="T986" s="33"/>
    </row>
    <row r="987" spans="2:20" ht="15.75" customHeight="1">
      <c r="B987" s="5"/>
      <c r="C987" s="5"/>
      <c r="D987" s="5"/>
      <c r="E987" s="5"/>
      <c r="F987" s="5"/>
      <c r="P987" s="33"/>
      <c r="Q987" s="33"/>
      <c r="R987" s="33"/>
      <c r="S987" s="33"/>
      <c r="T987" s="33"/>
    </row>
    <row r="988" spans="2:20" ht="15.75" customHeight="1">
      <c r="B988" s="5"/>
      <c r="C988" s="5"/>
      <c r="D988" s="5"/>
      <c r="E988" s="5"/>
      <c r="F988" s="5"/>
      <c r="P988" s="33"/>
      <c r="Q988" s="33"/>
      <c r="R988" s="33"/>
      <c r="S988" s="33"/>
      <c r="T988" s="33"/>
    </row>
    <row r="989" spans="2:20" ht="15.75" customHeight="1">
      <c r="B989" s="5"/>
      <c r="C989" s="5"/>
      <c r="D989" s="5"/>
      <c r="E989" s="5"/>
      <c r="F989" s="5"/>
      <c r="P989" s="33"/>
      <c r="Q989" s="33"/>
      <c r="R989" s="33"/>
      <c r="S989" s="33"/>
      <c r="T989" s="33"/>
    </row>
    <row r="990" spans="2:20" ht="15.75" customHeight="1">
      <c r="B990" s="5"/>
      <c r="C990" s="5"/>
      <c r="D990" s="5"/>
      <c r="E990" s="5"/>
      <c r="F990" s="5"/>
      <c r="P990" s="33"/>
      <c r="Q990" s="33"/>
      <c r="R990" s="33"/>
      <c r="S990" s="33"/>
      <c r="T990" s="33"/>
    </row>
    <row r="991" spans="2:20" ht="15.75" customHeight="1">
      <c r="B991" s="5"/>
      <c r="C991" s="5"/>
      <c r="D991" s="5"/>
      <c r="E991" s="5"/>
      <c r="F991" s="5"/>
      <c r="P991" s="33"/>
      <c r="Q991" s="33"/>
      <c r="R991" s="33"/>
      <c r="S991" s="33"/>
      <c r="T991" s="33"/>
    </row>
    <row r="992" spans="2:20" ht="15.75" customHeight="1">
      <c r="B992" s="5"/>
      <c r="C992" s="5"/>
      <c r="D992" s="5"/>
      <c r="E992" s="5"/>
      <c r="F992" s="5"/>
      <c r="P992" s="33"/>
      <c r="Q992" s="33"/>
      <c r="R992" s="33"/>
      <c r="S992" s="33"/>
      <c r="T992" s="33"/>
    </row>
    <row r="993" spans="2:20" ht="15.75" customHeight="1">
      <c r="B993" s="5"/>
      <c r="C993" s="5"/>
      <c r="D993" s="5"/>
      <c r="E993" s="5"/>
      <c r="F993" s="5"/>
      <c r="P993" s="33"/>
      <c r="Q993" s="33"/>
      <c r="R993" s="33"/>
      <c r="S993" s="33"/>
      <c r="T993" s="33"/>
    </row>
    <row r="994" spans="2:20" ht="15.75" customHeight="1">
      <c r="B994" s="5"/>
      <c r="C994" s="5"/>
      <c r="D994" s="5"/>
      <c r="E994" s="5"/>
      <c r="F994" s="5"/>
      <c r="P994" s="33"/>
      <c r="Q994" s="33"/>
      <c r="R994" s="33"/>
      <c r="S994" s="33"/>
      <c r="T994" s="33"/>
    </row>
    <row r="995" spans="2:20" ht="15.75" customHeight="1">
      <c r="B995" s="5"/>
      <c r="C995" s="5"/>
      <c r="D995" s="5"/>
      <c r="E995" s="5"/>
      <c r="F995" s="5"/>
      <c r="P995" s="33"/>
      <c r="Q995" s="33"/>
      <c r="R995" s="33"/>
      <c r="S995" s="33"/>
      <c r="T995" s="33"/>
    </row>
    <row r="996" spans="2:20" ht="15.75" customHeight="1">
      <c r="B996" s="5"/>
      <c r="C996" s="5"/>
      <c r="D996" s="5"/>
      <c r="E996" s="5"/>
      <c r="F996" s="5"/>
      <c r="P996" s="33"/>
      <c r="Q996" s="33"/>
      <c r="R996" s="33"/>
      <c r="S996" s="33"/>
      <c r="T996" s="33"/>
    </row>
    <row r="997" spans="2:20" ht="15.75" customHeight="1">
      <c r="B997" s="5"/>
      <c r="C997" s="5"/>
      <c r="D997" s="5"/>
      <c r="E997" s="5"/>
      <c r="F997" s="5"/>
      <c r="P997" s="33"/>
      <c r="Q997" s="33"/>
      <c r="R997" s="33"/>
      <c r="S997" s="33"/>
      <c r="T997" s="33"/>
    </row>
    <row r="998" spans="2:20" ht="15.75" customHeight="1">
      <c r="B998" s="5"/>
      <c r="C998" s="5"/>
      <c r="D998" s="5"/>
      <c r="E998" s="5"/>
      <c r="F998" s="5"/>
      <c r="P998" s="33"/>
      <c r="Q998" s="33"/>
      <c r="R998" s="33"/>
      <c r="S998" s="33"/>
      <c r="T998" s="33"/>
    </row>
    <row r="999" spans="2:20" ht="15.75" customHeight="1">
      <c r="B999" s="5"/>
      <c r="C999" s="5"/>
      <c r="D999" s="5"/>
      <c r="E999" s="5"/>
      <c r="F999" s="5"/>
      <c r="P999" s="33"/>
      <c r="Q999" s="33"/>
      <c r="R999" s="33"/>
      <c r="S999" s="33"/>
      <c r="T999" s="33"/>
    </row>
    <row r="1000" spans="2:20" ht="15.75" customHeight="1">
      <c r="B1000" s="5"/>
      <c r="C1000" s="5"/>
      <c r="D1000" s="5"/>
      <c r="E1000" s="5"/>
      <c r="F1000" s="5"/>
      <c r="P1000" s="33"/>
      <c r="Q1000" s="33"/>
      <c r="R1000" s="33"/>
      <c r="S1000" s="33"/>
      <c r="T1000" s="33"/>
    </row>
    <row r="1001" spans="2:20" ht="15.75" customHeight="1">
      <c r="B1001" s="5"/>
      <c r="C1001" s="5"/>
      <c r="D1001" s="5"/>
      <c r="E1001" s="5"/>
      <c r="F1001" s="5"/>
      <c r="P1001" s="33"/>
      <c r="Q1001" s="33"/>
      <c r="R1001" s="33"/>
      <c r="S1001" s="33"/>
      <c r="T1001" s="33"/>
    </row>
    <row r="1002" spans="2:20" ht="15.75" customHeight="1">
      <c r="B1002" s="5"/>
      <c r="C1002" s="5"/>
      <c r="D1002" s="5"/>
      <c r="E1002" s="5"/>
      <c r="F1002" s="5"/>
      <c r="P1002" s="33"/>
      <c r="Q1002" s="33"/>
      <c r="R1002" s="33"/>
      <c r="S1002" s="33"/>
      <c r="T1002" s="33"/>
    </row>
    <row r="1003" spans="2:20" ht="15.75" customHeight="1">
      <c r="B1003" s="5"/>
      <c r="C1003" s="5"/>
      <c r="D1003" s="5"/>
      <c r="E1003" s="5"/>
      <c r="F1003" s="5"/>
      <c r="P1003" s="33"/>
      <c r="Q1003" s="33"/>
      <c r="R1003" s="33"/>
      <c r="S1003" s="33"/>
      <c r="T1003" s="33"/>
    </row>
    <row r="1004" spans="2:20" ht="15.75" customHeight="1">
      <c r="B1004" s="5"/>
      <c r="C1004" s="5"/>
      <c r="D1004" s="5"/>
      <c r="E1004" s="5"/>
      <c r="F1004" s="5"/>
      <c r="P1004" s="33"/>
      <c r="Q1004" s="33"/>
      <c r="R1004" s="33"/>
      <c r="S1004" s="33"/>
      <c r="T1004" s="33"/>
    </row>
    <row r="1005" spans="2:20" ht="15.75" customHeight="1">
      <c r="B1005" s="5"/>
      <c r="C1005" s="5"/>
      <c r="D1005" s="5"/>
      <c r="E1005" s="5"/>
      <c r="F1005" s="5"/>
      <c r="P1005" s="33"/>
      <c r="Q1005" s="33"/>
      <c r="R1005" s="33"/>
      <c r="S1005" s="33"/>
      <c r="T1005" s="33"/>
    </row>
  </sheetData>
  <conditionalFormatting sqref="E6:E16">
    <cfRule type="cellIs" dxfId="3" priority="1" operator="greaterThanOrEqual">
      <formula>0</formula>
    </cfRule>
  </conditionalFormatting>
  <conditionalFormatting sqref="E6:E16">
    <cfRule type="cellIs" dxfId="2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5"/>
  <sheetViews>
    <sheetView workbookViewId="0">
      <selection activeCell="M32" sqref="M32"/>
    </sheetView>
  </sheetViews>
  <sheetFormatPr baseColWidth="10" defaultColWidth="11.1640625" defaultRowHeight="15" customHeight="1"/>
  <cols>
    <col min="1" max="1" width="11.83203125" customWidth="1"/>
    <col min="2" max="2" width="8.33203125" customWidth="1"/>
    <col min="3" max="3" width="8.83203125" customWidth="1"/>
    <col min="4" max="4" width="7.1640625" customWidth="1"/>
    <col min="5" max="5" width="10.5" customWidth="1"/>
    <col min="6" max="6" width="9" customWidth="1"/>
    <col min="7" max="7" width="5.1640625" customWidth="1"/>
    <col min="8" max="8" width="4.33203125" customWidth="1"/>
    <col min="9" max="9" width="4.1640625" customWidth="1"/>
    <col min="10" max="10" width="5.33203125" customWidth="1"/>
    <col min="11" max="11" width="6.1640625" customWidth="1"/>
    <col min="12" max="13" width="2.6640625" customWidth="1"/>
    <col min="14" max="14" width="12.1640625" customWidth="1"/>
    <col min="15" max="15" width="1.5" customWidth="1"/>
    <col min="16" max="16" width="6.1640625" customWidth="1"/>
    <col min="17" max="17" width="4" customWidth="1"/>
    <col min="18" max="18" width="4.33203125" customWidth="1"/>
    <col min="19" max="19" width="5.83203125" customWidth="1"/>
    <col min="20" max="20" width="6.5" customWidth="1"/>
    <col min="21" max="21" width="10.5" customWidth="1"/>
    <col min="22" max="25" width="10.5" style="15" customWidth="1"/>
    <col min="26" max="26" width="10.5" customWidth="1"/>
  </cols>
  <sheetData>
    <row r="1" spans="1:26" ht="15.75" customHeight="1">
      <c r="A1" s="1" t="s">
        <v>1</v>
      </c>
      <c r="B1" s="1" t="s">
        <v>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Z1" s="58"/>
    </row>
    <row r="2" spans="1:26" ht="15.75" customHeight="1">
      <c r="A2" s="1" t="s">
        <v>6</v>
      </c>
      <c r="B2" s="1" t="s">
        <v>16</v>
      </c>
      <c r="C2" s="1" t="s">
        <v>80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Z2" s="58"/>
    </row>
    <row r="3" spans="1:26" ht="15.75" customHeight="1">
      <c r="A3" s="1" t="s">
        <v>10</v>
      </c>
      <c r="B3" s="64">
        <v>0.51736111111111105</v>
      </c>
      <c r="C3" s="65">
        <v>43666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Z3" s="58"/>
    </row>
    <row r="4" spans="1:26" ht="15.75" customHeight="1">
      <c r="A4" s="58"/>
      <c r="B4" s="58"/>
      <c r="C4" s="58"/>
      <c r="D4" s="58"/>
      <c r="E4" s="58"/>
      <c r="F4" s="58"/>
      <c r="G4" s="1" t="s">
        <v>15</v>
      </c>
      <c r="H4" s="58"/>
      <c r="I4" s="58"/>
      <c r="J4" s="58"/>
      <c r="K4" s="58"/>
      <c r="L4" s="58"/>
      <c r="M4" s="58"/>
      <c r="N4" s="58"/>
      <c r="O4" s="58"/>
      <c r="P4" s="1" t="s">
        <v>49</v>
      </c>
      <c r="Q4" s="58"/>
      <c r="R4" s="58"/>
      <c r="S4" s="58"/>
      <c r="T4" s="1" t="s">
        <v>50</v>
      </c>
      <c r="U4" s="58"/>
      <c r="Z4" s="58"/>
    </row>
    <row r="5" spans="1:26" ht="15.75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58"/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/>
      <c r="M5" s="58"/>
      <c r="N5" s="1" t="s">
        <v>28</v>
      </c>
      <c r="O5" s="58"/>
      <c r="P5" s="1" t="s">
        <v>51</v>
      </c>
      <c r="Q5" s="1" t="s">
        <v>52</v>
      </c>
      <c r="R5" s="1" t="s">
        <v>53</v>
      </c>
      <c r="S5" s="1" t="s">
        <v>54</v>
      </c>
      <c r="T5" s="1" t="s">
        <v>55</v>
      </c>
      <c r="U5" s="58"/>
      <c r="V5" s="59" t="s">
        <v>89</v>
      </c>
      <c r="W5" s="59" t="s">
        <v>90</v>
      </c>
      <c r="X5" s="59" t="s">
        <v>91</v>
      </c>
      <c r="Y5" s="59" t="s">
        <v>92</v>
      </c>
      <c r="Z5" s="58"/>
    </row>
    <row r="6" spans="1:26" ht="15.75" customHeight="1">
      <c r="A6" s="58">
        <v>1</v>
      </c>
      <c r="B6" s="58">
        <v>3.61</v>
      </c>
      <c r="C6" s="58">
        <v>214</v>
      </c>
      <c r="D6" s="58">
        <v>232</v>
      </c>
      <c r="E6" s="66">
        <v>18</v>
      </c>
      <c r="F6" s="58"/>
      <c r="G6" s="58"/>
      <c r="H6" s="22">
        <v>231</v>
      </c>
      <c r="I6" s="58">
        <v>229</v>
      </c>
      <c r="J6" s="58">
        <v>234</v>
      </c>
      <c r="K6" s="58">
        <v>232</v>
      </c>
      <c r="L6" s="58"/>
      <c r="M6" s="58"/>
      <c r="N6" s="58"/>
      <c r="O6" s="58"/>
      <c r="P6" s="22">
        <v>1.2</v>
      </c>
      <c r="Q6" s="58">
        <v>232</v>
      </c>
      <c r="R6" s="22">
        <v>33</v>
      </c>
      <c r="S6" s="58">
        <v>0.63</v>
      </c>
      <c r="T6" s="58">
        <v>2.98</v>
      </c>
      <c r="U6" s="58"/>
      <c r="V6" s="19">
        <f>IF(ISBLANK(A6),"",A6)</f>
        <v>1</v>
      </c>
      <c r="W6" s="61">
        <f>IF(V6="","",IF(ISBLANK(T6),B6,T6))</f>
        <v>2.98</v>
      </c>
      <c r="X6" s="21">
        <f>IF(V6="","",C6)</f>
        <v>214</v>
      </c>
      <c r="Y6" s="60">
        <f>IF(V6="","",D6)</f>
        <v>232</v>
      </c>
      <c r="Z6" s="58"/>
    </row>
    <row r="7" spans="1:26" ht="15.75" customHeight="1">
      <c r="A7" s="58">
        <v>2</v>
      </c>
      <c r="B7" s="58">
        <v>2.7</v>
      </c>
      <c r="C7" s="58">
        <v>300</v>
      </c>
      <c r="D7" s="58">
        <v>234</v>
      </c>
      <c r="E7" s="67">
        <v>-66</v>
      </c>
      <c r="F7" s="58"/>
      <c r="G7" s="58"/>
      <c r="H7" s="22">
        <v>233</v>
      </c>
      <c r="I7" s="58">
        <v>235</v>
      </c>
      <c r="J7" s="58">
        <v>231</v>
      </c>
      <c r="K7" s="58">
        <v>237</v>
      </c>
      <c r="L7" s="58"/>
      <c r="M7" s="58"/>
      <c r="N7" s="58"/>
      <c r="O7" s="58"/>
      <c r="P7" s="58">
        <v>1.03</v>
      </c>
      <c r="Q7" s="58">
        <v>196</v>
      </c>
      <c r="R7" s="58"/>
      <c r="S7" s="58">
        <v>0</v>
      </c>
      <c r="T7" s="58">
        <v>2.7</v>
      </c>
      <c r="U7" s="58" t="s">
        <v>77</v>
      </c>
      <c r="V7" s="19">
        <f>IF(ISBLANK(A7),"",A7)</f>
        <v>2</v>
      </c>
      <c r="W7" s="61">
        <f t="shared" ref="W7:W12" si="0">IF(V7="","",IF(ISBLANK(T7),B7,T7))</f>
        <v>2.7</v>
      </c>
      <c r="X7" s="21">
        <f t="shared" ref="X7:X12" si="1">IF(V7="","",C7)</f>
        <v>300</v>
      </c>
      <c r="Y7" s="60">
        <f t="shared" ref="Y7:Y12" si="2">IF(V7="","",D7)</f>
        <v>234</v>
      </c>
      <c r="Z7" s="58"/>
    </row>
    <row r="8" spans="1:26" ht="15.75" customHeight="1">
      <c r="A8" s="58">
        <v>3</v>
      </c>
      <c r="B8" s="58">
        <v>3.1</v>
      </c>
      <c r="C8" s="58">
        <v>27</v>
      </c>
      <c r="D8" s="58">
        <v>208</v>
      </c>
      <c r="E8" s="66">
        <v>179</v>
      </c>
      <c r="F8" s="58"/>
      <c r="G8" s="58"/>
      <c r="H8" s="22">
        <v>209</v>
      </c>
      <c r="I8" s="58">
        <v>208</v>
      </c>
      <c r="J8" s="58">
        <v>209</v>
      </c>
      <c r="K8" s="58">
        <v>205</v>
      </c>
      <c r="L8" s="58"/>
      <c r="M8" s="58"/>
      <c r="N8" s="58"/>
      <c r="O8" s="58"/>
      <c r="P8" s="22">
        <v>0.98</v>
      </c>
      <c r="Q8" s="58">
        <v>200</v>
      </c>
      <c r="R8" s="22">
        <v>34</v>
      </c>
      <c r="S8" s="58">
        <v>-0.55000000000000004</v>
      </c>
      <c r="T8" s="58">
        <v>3.65</v>
      </c>
      <c r="U8" s="58"/>
      <c r="V8" s="19">
        <f>IF(ISBLANK(A8),"",A8)</f>
        <v>3</v>
      </c>
      <c r="W8" s="61">
        <f t="shared" si="0"/>
        <v>3.65</v>
      </c>
      <c r="X8" s="21">
        <f t="shared" si="1"/>
        <v>27</v>
      </c>
      <c r="Y8" s="60">
        <f t="shared" si="2"/>
        <v>208</v>
      </c>
      <c r="Z8" s="58"/>
    </row>
    <row r="9" spans="1:26" ht="15.75" customHeight="1">
      <c r="A9" s="58">
        <v>4</v>
      </c>
      <c r="B9" s="58">
        <v>2.97</v>
      </c>
      <c r="C9" s="58">
        <v>192</v>
      </c>
      <c r="D9" s="58">
        <v>216</v>
      </c>
      <c r="E9" s="66">
        <v>24</v>
      </c>
      <c r="F9" s="58"/>
      <c r="G9" s="58"/>
      <c r="H9" s="22">
        <v>211</v>
      </c>
      <c r="I9" s="58">
        <v>220</v>
      </c>
      <c r="J9" s="58">
        <v>218</v>
      </c>
      <c r="K9" s="58"/>
      <c r="L9" s="58"/>
      <c r="M9" s="58"/>
      <c r="N9" s="58"/>
      <c r="O9" s="58"/>
      <c r="P9" s="22">
        <v>1.2</v>
      </c>
      <c r="Q9" s="58">
        <v>211</v>
      </c>
      <c r="R9" s="22">
        <v>24.5</v>
      </c>
      <c r="S9" s="58">
        <v>0.46</v>
      </c>
      <c r="T9" s="58">
        <v>2.5099999999999998</v>
      </c>
      <c r="U9" s="58"/>
      <c r="V9" s="19">
        <f t="shared" ref="V9:V12" si="3">IF(ISBLANK(A9),"",A9)</f>
        <v>4</v>
      </c>
      <c r="W9" s="61">
        <f t="shared" si="0"/>
        <v>2.5099999999999998</v>
      </c>
      <c r="X9" s="21">
        <f t="shared" si="1"/>
        <v>192</v>
      </c>
      <c r="Y9" s="60">
        <f t="shared" si="2"/>
        <v>216</v>
      </c>
      <c r="Z9" s="58"/>
    </row>
    <row r="10" spans="1:26" ht="15.75" customHeight="1">
      <c r="A10" s="58">
        <v>5</v>
      </c>
      <c r="B10" s="58">
        <v>3.9</v>
      </c>
      <c r="C10" s="58">
        <v>63</v>
      </c>
      <c r="D10" s="58">
        <v>235</v>
      </c>
      <c r="E10" s="66">
        <v>172</v>
      </c>
      <c r="F10" s="58"/>
      <c r="G10" s="58"/>
      <c r="H10" s="22">
        <v>237</v>
      </c>
      <c r="I10" s="58">
        <v>234</v>
      </c>
      <c r="J10" s="58">
        <v>230</v>
      </c>
      <c r="K10" s="58">
        <v>237</v>
      </c>
      <c r="L10" s="58"/>
      <c r="M10" s="58"/>
      <c r="N10" s="58"/>
      <c r="O10" s="58"/>
      <c r="P10" s="22">
        <v>1.1599999999999999</v>
      </c>
      <c r="Q10" s="58">
        <v>223</v>
      </c>
      <c r="R10" s="22">
        <v>27.8</v>
      </c>
      <c r="S10" s="58">
        <v>-0.51</v>
      </c>
      <c r="T10" s="58">
        <v>4.41</v>
      </c>
      <c r="U10" s="58"/>
      <c r="V10" s="19">
        <f t="shared" si="3"/>
        <v>5</v>
      </c>
      <c r="W10" s="61">
        <f t="shared" si="0"/>
        <v>4.41</v>
      </c>
      <c r="X10" s="21">
        <f t="shared" si="1"/>
        <v>63</v>
      </c>
      <c r="Y10" s="60">
        <f t="shared" si="2"/>
        <v>235</v>
      </c>
      <c r="Z10" s="58"/>
    </row>
    <row r="11" spans="1:26" ht="15.75" customHeight="1">
      <c r="A11" s="58"/>
      <c r="B11" s="58"/>
      <c r="C11" s="58"/>
      <c r="D11" s="58"/>
      <c r="E11" s="58"/>
      <c r="F11" s="58"/>
      <c r="G11" s="58"/>
      <c r="H11" s="22"/>
      <c r="I11" s="58"/>
      <c r="J11" s="58"/>
      <c r="K11" s="58"/>
      <c r="L11" s="58"/>
      <c r="M11" s="58"/>
      <c r="N11" s="58"/>
      <c r="O11" s="58"/>
      <c r="P11" s="22"/>
      <c r="Q11" s="22"/>
      <c r="R11" s="22"/>
      <c r="S11" s="58"/>
      <c r="T11" s="58"/>
      <c r="U11" s="58"/>
      <c r="V11" s="19" t="str">
        <f t="shared" si="3"/>
        <v/>
      </c>
      <c r="W11" s="61" t="str">
        <f t="shared" si="0"/>
        <v/>
      </c>
      <c r="X11" s="21" t="str">
        <f t="shared" si="1"/>
        <v/>
      </c>
      <c r="Y11" s="60" t="str">
        <f t="shared" si="2"/>
        <v/>
      </c>
      <c r="Z11" s="58"/>
    </row>
    <row r="12" spans="1:26" ht="15.75" customHeight="1">
      <c r="A12" s="58"/>
      <c r="B12" s="58"/>
      <c r="C12" s="58"/>
      <c r="D12" s="58"/>
      <c r="E12" s="58"/>
      <c r="F12" s="58"/>
      <c r="G12" s="58"/>
      <c r="H12" s="22"/>
      <c r="I12" s="58"/>
      <c r="J12" s="58"/>
      <c r="K12" s="58"/>
      <c r="L12" s="58"/>
      <c r="M12" s="58"/>
      <c r="N12" s="58"/>
      <c r="O12" s="58"/>
      <c r="P12" s="22"/>
      <c r="Q12" s="58"/>
      <c r="R12" s="22"/>
      <c r="S12" s="58"/>
      <c r="T12" s="58"/>
      <c r="U12" s="1"/>
      <c r="V12" s="19" t="str">
        <f t="shared" si="3"/>
        <v/>
      </c>
      <c r="W12" s="61" t="str">
        <f t="shared" si="0"/>
        <v/>
      </c>
      <c r="X12" s="21" t="str">
        <f t="shared" si="1"/>
        <v/>
      </c>
      <c r="Y12" s="60" t="str">
        <f t="shared" si="2"/>
        <v/>
      </c>
      <c r="Z12" s="1"/>
    </row>
    <row r="13" spans="1:26" ht="15.75" customHeight="1">
      <c r="A13" s="1" t="s">
        <v>32</v>
      </c>
      <c r="B13" s="58">
        <f>SUM(B6:B12)</f>
        <v>16.28</v>
      </c>
      <c r="C13" s="58"/>
      <c r="D13" s="58"/>
      <c r="E13" s="58"/>
      <c r="F13" s="58"/>
      <c r="G13" s="58"/>
      <c r="H13" s="22"/>
      <c r="I13" s="58"/>
      <c r="J13" s="58"/>
      <c r="K13" s="58"/>
      <c r="L13" s="58"/>
      <c r="M13" s="58"/>
      <c r="N13" s="58"/>
      <c r="O13" s="58"/>
      <c r="P13" s="22"/>
      <c r="Q13" s="58"/>
      <c r="R13" s="22"/>
      <c r="S13" s="58"/>
      <c r="T13" s="58"/>
      <c r="U13" s="1"/>
      <c r="V13" s="19"/>
      <c r="W13" s="61"/>
      <c r="X13" s="21"/>
      <c r="Y13" s="60"/>
      <c r="Z13" s="1"/>
    </row>
    <row r="14" spans="1:26" ht="15.75" customHeight="1">
      <c r="A14" s="58"/>
      <c r="B14" s="58"/>
      <c r="C14" s="58"/>
      <c r="D14" s="58"/>
      <c r="E14" s="58"/>
      <c r="F14" s="58"/>
      <c r="G14" s="58"/>
      <c r="H14" s="22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1"/>
      <c r="V14" s="2"/>
      <c r="W14" s="2"/>
      <c r="X14" s="2"/>
      <c r="Y14" s="2"/>
      <c r="Z14" s="1"/>
    </row>
    <row r="15" spans="1:26" ht="15.75" customHeight="1">
      <c r="A15" s="58"/>
      <c r="B15" s="58"/>
      <c r="C15" s="58"/>
      <c r="D15" s="58"/>
      <c r="E15" s="58"/>
      <c r="F15" s="58"/>
      <c r="G15" s="58"/>
      <c r="H15" s="22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1"/>
      <c r="V15" s="2"/>
      <c r="W15" s="2"/>
      <c r="X15" s="2"/>
      <c r="Y15" s="2"/>
      <c r="Z15" s="1"/>
    </row>
    <row r="16" spans="1:26" ht="15.75" customHeight="1">
      <c r="A16" s="58"/>
      <c r="B16" s="58"/>
      <c r="C16" s="58"/>
      <c r="D16" s="58"/>
      <c r="E16" s="58"/>
      <c r="F16" s="58"/>
      <c r="G16" s="58"/>
      <c r="H16" s="22"/>
      <c r="I16" s="58"/>
      <c r="J16" s="58"/>
      <c r="K16" s="58"/>
      <c r="L16" s="58"/>
      <c r="M16" s="58"/>
      <c r="N16" s="58"/>
      <c r="O16" s="58"/>
      <c r="P16" s="22"/>
      <c r="Q16" s="58"/>
      <c r="R16" s="58"/>
      <c r="S16" s="58"/>
      <c r="T16" s="58"/>
      <c r="U16" s="58"/>
      <c r="Z16" s="58"/>
    </row>
    <row r="17" spans="1:26" ht="15.75" customHeight="1">
      <c r="A17" s="1" t="s">
        <v>5</v>
      </c>
      <c r="B17" s="58" t="s">
        <v>33</v>
      </c>
      <c r="C17" s="58" t="s">
        <v>34</v>
      </c>
      <c r="D17" s="58" t="s">
        <v>35</v>
      </c>
      <c r="E17" s="58" t="s">
        <v>36</v>
      </c>
      <c r="F17" s="58" t="s">
        <v>23</v>
      </c>
      <c r="G17" s="1" t="s">
        <v>37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 t="s">
        <v>93</v>
      </c>
      <c r="W17" s="58"/>
      <c r="X17" s="62">
        <f>C3</f>
        <v>43666</v>
      </c>
      <c r="Y17" s="63">
        <f>B3</f>
        <v>0.51736111111111105</v>
      </c>
      <c r="Z17" s="58"/>
    </row>
    <row r="18" spans="1:26" ht="15.75" customHeight="1">
      <c r="A18" s="58" t="s">
        <v>27</v>
      </c>
      <c r="B18" s="63">
        <v>9.2060185185185175E-2</v>
      </c>
      <c r="C18" s="63">
        <v>9.2060185185185175E-2</v>
      </c>
      <c r="D18" s="68">
        <v>0</v>
      </c>
      <c r="E18" s="58">
        <v>10.032299999999999</v>
      </c>
      <c r="F18" s="63">
        <v>0.60942129629629627</v>
      </c>
      <c r="G18" s="58">
        <v>1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 t="s">
        <v>27</v>
      </c>
      <c r="W18" s="58" t="s">
        <v>96</v>
      </c>
      <c r="X18" s="62">
        <f>X$17</f>
        <v>43666</v>
      </c>
      <c r="Y18" s="63">
        <f>VLOOKUP(V18,A$18:F$22,6,0)</f>
        <v>0.60942129629629627</v>
      </c>
      <c r="Z18" s="58"/>
    </row>
    <row r="19" spans="1:26" ht="15.75" customHeight="1">
      <c r="A19" s="58" t="s">
        <v>24</v>
      </c>
      <c r="B19" s="63">
        <v>9.449074074074075E-2</v>
      </c>
      <c r="C19" s="63">
        <v>9.2534722222222213E-2</v>
      </c>
      <c r="D19" s="68">
        <v>2.8472222222222222E-2</v>
      </c>
      <c r="E19" s="58">
        <v>9.9671000000000003</v>
      </c>
      <c r="F19" s="63">
        <v>0.61185185185185187</v>
      </c>
      <c r="G19" s="58">
        <v>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 t="s">
        <v>38</v>
      </c>
      <c r="W19" s="58" t="s">
        <v>98</v>
      </c>
      <c r="X19" s="62">
        <f t="shared" ref="X19:X22" si="4">X$17</f>
        <v>43666</v>
      </c>
      <c r="Y19" s="63">
        <f t="shared" ref="Y19:Y22" si="5">VLOOKUP(V19,A$18:F$22,6,0)</f>
        <v>0.63009259259259254</v>
      </c>
      <c r="Z19" s="58"/>
    </row>
    <row r="20" spans="1:26" ht="15.75" customHeight="1">
      <c r="A20" s="58" t="s">
        <v>26</v>
      </c>
      <c r="B20" s="63">
        <v>0.10549768518518519</v>
      </c>
      <c r="C20" s="63">
        <v>9.3483796296296287E-2</v>
      </c>
      <c r="D20" s="68">
        <v>5.6944444444444443E-2</v>
      </c>
      <c r="E20" s="58">
        <v>9.8384999999999998</v>
      </c>
      <c r="F20" s="63">
        <v>0.62285879629629626</v>
      </c>
      <c r="G20" s="58">
        <v>3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 t="s">
        <v>24</v>
      </c>
      <c r="W20" s="58" t="s">
        <v>94</v>
      </c>
      <c r="X20" s="62">
        <f t="shared" si="4"/>
        <v>43666</v>
      </c>
      <c r="Y20" s="63">
        <f t="shared" si="5"/>
        <v>0.61185185185185187</v>
      </c>
      <c r="Z20" s="58"/>
    </row>
    <row r="21" spans="1:26" ht="15.75" customHeight="1">
      <c r="A21" s="58" t="s">
        <v>25</v>
      </c>
      <c r="B21" s="63">
        <v>9.8553240740740747E-2</v>
      </c>
      <c r="C21" s="63">
        <v>9.7835648148148158E-2</v>
      </c>
      <c r="D21" s="68">
        <v>0.26111111111111113</v>
      </c>
      <c r="E21" s="58">
        <v>9.2739999999999991</v>
      </c>
      <c r="F21" s="63">
        <v>0.61591435185185184</v>
      </c>
      <c r="G21" s="58">
        <v>4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 t="s">
        <v>25</v>
      </c>
      <c r="W21" s="58" t="s">
        <v>95</v>
      </c>
      <c r="X21" s="62">
        <f t="shared" si="4"/>
        <v>43666</v>
      </c>
      <c r="Y21" s="63">
        <f t="shared" si="5"/>
        <v>0.61591435185185184</v>
      </c>
      <c r="Z21" s="58"/>
    </row>
    <row r="22" spans="1:26" ht="15.75" customHeight="1">
      <c r="A22" s="58" t="s">
        <v>38</v>
      </c>
      <c r="B22" s="63">
        <v>0.11273148148148149</v>
      </c>
      <c r="C22" s="63">
        <v>0.10085648148148148</v>
      </c>
      <c r="D22" s="68">
        <v>0.18124999999999999</v>
      </c>
      <c r="E22" s="58">
        <v>8.9337</v>
      </c>
      <c r="F22" s="63">
        <v>0.63009259259259254</v>
      </c>
      <c r="G22" s="58">
        <v>5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 t="s">
        <v>26</v>
      </c>
      <c r="W22" s="58" t="s">
        <v>97</v>
      </c>
      <c r="X22" s="62">
        <f t="shared" si="4"/>
        <v>43666</v>
      </c>
      <c r="Y22" s="63">
        <f t="shared" si="5"/>
        <v>0.62285879629629626</v>
      </c>
      <c r="Z22" s="58"/>
    </row>
    <row r="26" spans="1:2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Z26" s="58"/>
    </row>
    <row r="27" spans="1:26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Z27" s="58"/>
    </row>
    <row r="28" spans="1:26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Z28" s="58"/>
    </row>
    <row r="29" spans="1:26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Z29" s="58"/>
    </row>
    <row r="30" spans="1:26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Z30" s="58"/>
    </row>
    <row r="31" spans="1:26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Z31" s="58"/>
    </row>
    <row r="32" spans="1:26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Z32" s="58"/>
    </row>
    <row r="33" spans="1:26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Z33" s="58"/>
    </row>
    <row r="34" spans="1:26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Z34" s="58"/>
    </row>
    <row r="35" spans="1:26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Z35" s="58"/>
    </row>
    <row r="36" spans="1:26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Z36" s="58"/>
    </row>
    <row r="37" spans="1:26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Z37" s="58"/>
    </row>
    <row r="38" spans="1:26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Z38" s="58"/>
    </row>
    <row r="39" spans="1:26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Z39" s="58"/>
    </row>
    <row r="40" spans="1:26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Z40" s="58"/>
    </row>
    <row r="41" spans="1:26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Z41" s="58"/>
    </row>
    <row r="42" spans="1:26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Z42" s="58"/>
    </row>
    <row r="43" spans="1:26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Z43" s="58"/>
    </row>
    <row r="44" spans="1:26" ht="15.7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Z44" s="58"/>
    </row>
    <row r="45" spans="1:26" ht="15.7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Z45" s="58"/>
    </row>
    <row r="46" spans="1:2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Z46" s="58"/>
    </row>
    <row r="47" spans="1:26" ht="15.7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Z47" s="58"/>
    </row>
    <row r="48" spans="1:26" ht="15.7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Z48" s="58"/>
    </row>
    <row r="49" spans="1:26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Z49" s="58"/>
    </row>
    <row r="50" spans="1:26" ht="15.7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Z50" s="58"/>
    </row>
    <row r="51" spans="1:26" ht="15.7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Z51" s="58"/>
    </row>
    <row r="52" spans="1:26" ht="15.7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Z52" s="58"/>
    </row>
    <row r="53" spans="1:26" ht="15.7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Z53" s="58"/>
    </row>
    <row r="54" spans="1:26" ht="15.7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Z54" s="58"/>
    </row>
    <row r="55" spans="1:26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Z55" s="58"/>
    </row>
    <row r="56" spans="1:26" ht="15.7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Z56" s="58"/>
    </row>
    <row r="57" spans="1:26" ht="15.7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Z57" s="58"/>
    </row>
    <row r="58" spans="1:26" ht="15.7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Z58" s="58"/>
    </row>
    <row r="59" spans="1:26" ht="15.7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Z59" s="58"/>
    </row>
    <row r="60" spans="1:26" ht="15.7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Z60" s="58"/>
    </row>
    <row r="61" spans="1:26" ht="15.7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Z61" s="58"/>
    </row>
    <row r="62" spans="1:26" ht="15.7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Z62" s="58"/>
    </row>
    <row r="63" spans="1:26" ht="15.7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Z63" s="58"/>
    </row>
    <row r="64" spans="1:26" ht="15.7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Z64" s="58"/>
    </row>
    <row r="65" spans="1:26" ht="15.7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Z65" s="58"/>
    </row>
    <row r="66" spans="1:26" ht="15.7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Z66" s="58"/>
    </row>
    <row r="67" spans="1:26" ht="15.7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Z67" s="58"/>
    </row>
    <row r="68" spans="1:26" ht="15.7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Z68" s="58"/>
    </row>
    <row r="69" spans="1:26" ht="15.7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Z69" s="58"/>
    </row>
    <row r="70" spans="1:26" ht="15.7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Z70" s="58"/>
    </row>
    <row r="71" spans="1:26" ht="15.7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Z71" s="58"/>
    </row>
    <row r="72" spans="1:26" ht="15.7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Z72" s="58"/>
    </row>
    <row r="73" spans="1:26" ht="15.7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Z73" s="58"/>
    </row>
    <row r="74" spans="1:26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Z74" s="58"/>
    </row>
    <row r="75" spans="1:26" ht="15.7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Z75" s="58"/>
    </row>
    <row r="76" spans="1:26" ht="15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Z76" s="58"/>
    </row>
    <row r="77" spans="1:26" ht="15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Z77" s="58"/>
    </row>
    <row r="78" spans="1:26" ht="15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Z78" s="58"/>
    </row>
    <row r="79" spans="1:26" ht="15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Z79" s="58"/>
    </row>
    <row r="80" spans="1:26" ht="15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Z80" s="58"/>
    </row>
    <row r="81" spans="1:26" ht="15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Z81" s="58"/>
    </row>
    <row r="82" spans="1:26" ht="15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Z82" s="58"/>
    </row>
    <row r="83" spans="1:26" ht="15.7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Z83" s="58"/>
    </row>
    <row r="84" spans="1:26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Z84" s="58"/>
    </row>
    <row r="85" spans="1:26" ht="15.7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Z85" s="58"/>
    </row>
    <row r="86" spans="1:26" ht="15.7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Z86" s="58"/>
    </row>
    <row r="87" spans="1:26" ht="15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Z87" s="58"/>
    </row>
    <row r="88" spans="1:26" ht="15.7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Z88" s="58"/>
    </row>
    <row r="89" spans="1:26" ht="15.7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Z89" s="58"/>
    </row>
    <row r="90" spans="1:26" ht="15.7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Z90" s="58"/>
    </row>
    <row r="91" spans="1:26" ht="15.7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Z91" s="58"/>
    </row>
    <row r="92" spans="1:26" ht="15.7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Z92" s="58"/>
    </row>
    <row r="93" spans="1:26" ht="15.7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Z93" s="58"/>
    </row>
    <row r="94" spans="1:26" ht="15.7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Z94" s="58"/>
    </row>
    <row r="95" spans="1:26" ht="15.7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Z95" s="58"/>
    </row>
    <row r="96" spans="1:26" ht="15.7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Z96" s="58"/>
    </row>
    <row r="97" spans="1:26" ht="15.7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Z97" s="58"/>
    </row>
    <row r="98" spans="1:26" ht="15.7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Z98" s="58"/>
    </row>
    <row r="99" spans="1:26" ht="15.7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Z99" s="58"/>
    </row>
    <row r="100" spans="1:26" ht="15.7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Z100" s="58"/>
    </row>
    <row r="101" spans="1:26" ht="15.7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Z101" s="58"/>
    </row>
    <row r="102" spans="1:26" ht="15.7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Z102" s="58"/>
    </row>
    <row r="103" spans="1:26" ht="15.7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Z103" s="58"/>
    </row>
    <row r="104" spans="1:26" ht="15.7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Z104" s="58"/>
    </row>
    <row r="105" spans="1:26" ht="15.7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Z105" s="58"/>
    </row>
    <row r="106" spans="1:26" ht="15.7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Z106" s="58"/>
    </row>
    <row r="107" spans="1:26" ht="15.7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Z107" s="58"/>
    </row>
    <row r="108" spans="1:26" ht="15.7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Z108" s="58"/>
    </row>
    <row r="109" spans="1:26" ht="15.7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Z109" s="58"/>
    </row>
    <row r="110" spans="1:26" ht="15.7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Z110" s="58"/>
    </row>
    <row r="111" spans="1:26" ht="15.7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Z111" s="58"/>
    </row>
    <row r="112" spans="1:26" ht="15.7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Z112" s="58"/>
    </row>
    <row r="113" spans="1:26" ht="15.7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Z113" s="58"/>
    </row>
    <row r="114" spans="1:26" ht="15.7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Z114" s="58"/>
    </row>
    <row r="115" spans="1:26" ht="15.7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Z115" s="58"/>
    </row>
    <row r="116" spans="1:26" ht="15.7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Z116" s="58"/>
    </row>
    <row r="117" spans="1:26" ht="15.7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Z117" s="58"/>
    </row>
    <row r="118" spans="1:26" ht="15.7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Z118" s="58"/>
    </row>
    <row r="119" spans="1:26" ht="15.7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Z119" s="58"/>
    </row>
    <row r="120" spans="1:26" ht="15.7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Z120" s="58"/>
    </row>
    <row r="121" spans="1:26" ht="15.7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Z121" s="58"/>
    </row>
    <row r="122" spans="1:26" ht="15.7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Z122" s="58"/>
    </row>
    <row r="123" spans="1:26" ht="15.7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Z123" s="58"/>
    </row>
    <row r="124" spans="1:26" ht="15.7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Z124" s="58"/>
    </row>
    <row r="125" spans="1:26" ht="15.7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Z125" s="58"/>
    </row>
    <row r="126" spans="1:26" ht="15.7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Z126" s="58"/>
    </row>
    <row r="127" spans="1:26" ht="15.7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Z127" s="58"/>
    </row>
    <row r="128" spans="1:26" ht="15.7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Z128" s="58"/>
    </row>
    <row r="129" spans="1:26" ht="15.7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Z129" s="58"/>
    </row>
    <row r="130" spans="1:26" ht="15.7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Z130" s="58"/>
    </row>
    <row r="131" spans="1:26" ht="15.7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Z131" s="58"/>
    </row>
    <row r="132" spans="1:26" ht="15.7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Z132" s="58"/>
    </row>
    <row r="133" spans="1:26" ht="15.7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Z133" s="58"/>
    </row>
    <row r="134" spans="1:26" ht="15.7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Z134" s="58"/>
    </row>
    <row r="135" spans="1:26" ht="15.7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Z135" s="58"/>
    </row>
    <row r="136" spans="1:26" ht="15.7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Z136" s="58"/>
    </row>
    <row r="137" spans="1:26" ht="15.7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Z137" s="58"/>
    </row>
    <row r="138" spans="1:26" ht="15.7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Z138" s="58"/>
    </row>
    <row r="139" spans="1:26" ht="15.7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Z139" s="58"/>
    </row>
    <row r="140" spans="1:26" ht="15.7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Z140" s="58"/>
    </row>
    <row r="141" spans="1:26" ht="15.7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Z141" s="58"/>
    </row>
    <row r="142" spans="1:26" ht="15.7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Z142" s="58"/>
    </row>
    <row r="143" spans="1:26" ht="15.7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Z143" s="58"/>
    </row>
    <row r="144" spans="1:26" ht="15.7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Z144" s="58"/>
    </row>
    <row r="145" spans="1:26" ht="15.7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Z145" s="58"/>
    </row>
    <row r="146" spans="1:26" ht="15.7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Z146" s="58"/>
    </row>
    <row r="147" spans="1:26" ht="15.7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Z147" s="58"/>
    </row>
    <row r="148" spans="1:26" ht="15.7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Z148" s="58"/>
    </row>
    <row r="149" spans="1:26" ht="15.7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Z149" s="58"/>
    </row>
    <row r="150" spans="1:26" ht="15.7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Z150" s="58"/>
    </row>
    <row r="151" spans="1:26" ht="15.7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Z151" s="58"/>
    </row>
    <row r="152" spans="1:26" ht="15.7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Z152" s="58"/>
    </row>
    <row r="153" spans="1:26" ht="15.7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Z153" s="58"/>
    </row>
    <row r="154" spans="1:26" ht="15.7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Z154" s="58"/>
    </row>
    <row r="155" spans="1:26" ht="15.7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Z155" s="58"/>
    </row>
    <row r="156" spans="1:26" ht="15.7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Z156" s="58"/>
    </row>
    <row r="157" spans="1:26" ht="15.7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Z157" s="58"/>
    </row>
    <row r="158" spans="1:26" ht="15.7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Z158" s="58"/>
    </row>
    <row r="159" spans="1:26" ht="15.7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Z159" s="58"/>
    </row>
    <row r="160" spans="1:26" ht="15.7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Z160" s="58"/>
    </row>
    <row r="161" spans="1:26" ht="15.7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Z161" s="58"/>
    </row>
    <row r="162" spans="1:26" ht="15.7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Z162" s="58"/>
    </row>
    <row r="163" spans="1:26" ht="15.7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Z163" s="58"/>
    </row>
    <row r="164" spans="1:26" ht="15.7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Z164" s="58"/>
    </row>
    <row r="165" spans="1:26" ht="15.7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Z165" s="58"/>
    </row>
    <row r="166" spans="1:26" ht="15.7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Z166" s="58"/>
    </row>
    <row r="167" spans="1:26" ht="15.7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Z167" s="58"/>
    </row>
    <row r="168" spans="1:26" ht="15.7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Z168" s="58"/>
    </row>
    <row r="169" spans="1:26" ht="15.7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Z169" s="58"/>
    </row>
    <row r="170" spans="1:26" ht="15.7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Z170" s="58"/>
    </row>
    <row r="171" spans="1:26" ht="15.7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Z171" s="58"/>
    </row>
    <row r="172" spans="1:26" ht="15.7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Z172" s="58"/>
    </row>
    <row r="173" spans="1:26" ht="15.7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Z173" s="58"/>
    </row>
    <row r="174" spans="1:26" ht="15.7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Z174" s="58"/>
    </row>
    <row r="175" spans="1:26" ht="15.7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Z175" s="58"/>
    </row>
    <row r="176" spans="1:26" ht="15.7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Z176" s="58"/>
    </row>
    <row r="177" spans="1:26" ht="15.7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Z177" s="58"/>
    </row>
    <row r="178" spans="1:26" ht="15.7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Z178" s="58"/>
    </row>
    <row r="179" spans="1:26" ht="15.7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Z179" s="58"/>
    </row>
    <row r="180" spans="1:26" ht="15.7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Z180" s="58"/>
    </row>
    <row r="181" spans="1:26" ht="15.7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Z181" s="58"/>
    </row>
    <row r="182" spans="1:26" ht="15.7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Z182" s="58"/>
    </row>
    <row r="183" spans="1:26" ht="15.7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Z183" s="58"/>
    </row>
    <row r="184" spans="1:26" ht="15.7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Z184" s="58"/>
    </row>
    <row r="185" spans="1:26" ht="15.7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Z185" s="58"/>
    </row>
    <row r="186" spans="1:26" ht="15.7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Z186" s="58"/>
    </row>
    <row r="187" spans="1:26" ht="15.7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Z187" s="58"/>
    </row>
    <row r="188" spans="1:26" ht="15.7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Z188" s="58"/>
    </row>
    <row r="189" spans="1:26" ht="15.7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Z189" s="58"/>
    </row>
    <row r="190" spans="1:26" ht="15.7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Z190" s="58"/>
    </row>
    <row r="191" spans="1:26" ht="15.7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Z191" s="58"/>
    </row>
    <row r="192" spans="1:26" ht="15.7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Z192" s="58"/>
    </row>
    <row r="193" spans="1:26" ht="15.7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Z193" s="58"/>
    </row>
    <row r="194" spans="1:26" ht="15.7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Z194" s="58"/>
    </row>
    <row r="195" spans="1:26" ht="15.7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Z195" s="58"/>
    </row>
    <row r="196" spans="1:26" ht="15.7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Z196" s="58"/>
    </row>
    <row r="197" spans="1:26" ht="15.7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Z197" s="58"/>
    </row>
    <row r="198" spans="1:26" ht="15.7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Z198" s="58"/>
    </row>
    <row r="199" spans="1:26" ht="15.7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Z199" s="58"/>
    </row>
    <row r="200" spans="1:26" ht="15.7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Z200" s="58"/>
    </row>
    <row r="201" spans="1:26" ht="15.7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Z201" s="58"/>
    </row>
    <row r="202" spans="1:26" ht="15.7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Z202" s="58"/>
    </row>
    <row r="203" spans="1:26" ht="15.7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Z203" s="58"/>
    </row>
    <row r="204" spans="1:26" ht="15.7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Z204" s="58"/>
    </row>
    <row r="205" spans="1:26" ht="15.7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Z205" s="58"/>
    </row>
    <row r="206" spans="1:26" ht="15.7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Z206" s="58"/>
    </row>
    <row r="207" spans="1:26" ht="15.7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Z207" s="58"/>
    </row>
    <row r="208" spans="1:26" ht="15.7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Z208" s="58"/>
    </row>
    <row r="209" spans="1:26" ht="15.7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Z209" s="58"/>
    </row>
    <row r="210" spans="1:26" ht="15.7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Z210" s="58"/>
    </row>
    <row r="211" spans="1:26" ht="15.7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Z211" s="58"/>
    </row>
    <row r="212" spans="1:26" ht="15.7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Z212" s="58"/>
    </row>
    <row r="213" spans="1:26" ht="15.7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Z213" s="58"/>
    </row>
    <row r="214" spans="1:26" ht="15.7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Z214" s="58"/>
    </row>
    <row r="215" spans="1:26" ht="15.7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Z215" s="58"/>
    </row>
    <row r="216" spans="1:26" ht="15.7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Z216" s="58"/>
    </row>
    <row r="217" spans="1:26" ht="15.7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Z217" s="58"/>
    </row>
    <row r="218" spans="1:26" ht="15.7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Z218" s="58"/>
    </row>
    <row r="219" spans="1:26" ht="15.7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Z219" s="58"/>
    </row>
    <row r="220" spans="1:26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Z220" s="58"/>
    </row>
    <row r="221" spans="1:26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Z221" s="58"/>
    </row>
    <row r="222" spans="1:26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Z222" s="58"/>
    </row>
    <row r="223" spans="1:26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Z223" s="58"/>
    </row>
    <row r="224" spans="1:26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Z224" s="58"/>
    </row>
    <row r="225" spans="1:26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Z225" s="58"/>
    </row>
    <row r="226" spans="1: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Z226" s="58"/>
    </row>
    <row r="227" spans="1:26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Z227" s="58"/>
    </row>
    <row r="228" spans="1:26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Z228" s="58"/>
    </row>
    <row r="229" spans="1:26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Z229" s="58"/>
    </row>
    <row r="230" spans="1:26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Z230" s="58"/>
    </row>
    <row r="231" spans="1:26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Z231" s="58"/>
    </row>
    <row r="232" spans="1:26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Z232" s="58"/>
    </row>
    <row r="233" spans="1:26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Z233" s="58"/>
    </row>
    <row r="234" spans="1:26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Z234" s="58"/>
    </row>
    <row r="235" spans="1:26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Z235" s="58"/>
    </row>
    <row r="236" spans="1:2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Z236" s="58"/>
    </row>
    <row r="237" spans="1:26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Z237" s="58"/>
    </row>
    <row r="238" spans="1:26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Z238" s="58"/>
    </row>
    <row r="239" spans="1:26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Z239" s="58"/>
    </row>
    <row r="240" spans="1:26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Z240" s="58"/>
    </row>
    <row r="241" spans="1:26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Z241" s="58"/>
    </row>
    <row r="242" spans="1:26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Z242" s="58"/>
    </row>
    <row r="243" spans="1:26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Z243" s="58"/>
    </row>
    <row r="244" spans="1:26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Z244" s="58"/>
    </row>
    <row r="245" spans="1:26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Z245" s="58"/>
    </row>
    <row r="246" spans="1:2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Z246" s="58"/>
    </row>
    <row r="247" spans="1:26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Z247" s="58"/>
    </row>
    <row r="248" spans="1:26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Z248" s="58"/>
    </row>
    <row r="249" spans="1:26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Z249" s="58"/>
    </row>
    <row r="250" spans="1:26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Z250" s="58"/>
    </row>
    <row r="251" spans="1:26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Z251" s="58"/>
    </row>
    <row r="252" spans="1:26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Z252" s="58"/>
    </row>
    <row r="253" spans="1:26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Z253" s="58"/>
    </row>
    <row r="254" spans="1:26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Z254" s="58"/>
    </row>
    <row r="255" spans="1:26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Z255" s="58"/>
    </row>
    <row r="256" spans="1:2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Z256" s="58"/>
    </row>
    <row r="257" spans="1:26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Z257" s="58"/>
    </row>
    <row r="258" spans="1:26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Z258" s="58"/>
    </row>
    <row r="259" spans="1:26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Z259" s="58"/>
    </row>
    <row r="260" spans="1:26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Z260" s="58"/>
    </row>
    <row r="261" spans="1:26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Z261" s="58"/>
    </row>
    <row r="262" spans="1:26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Z262" s="58"/>
    </row>
    <row r="263" spans="1:26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Z263" s="58"/>
    </row>
    <row r="264" spans="1:26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Z264" s="58"/>
    </row>
    <row r="265" spans="1:26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Z265" s="58"/>
    </row>
    <row r="266" spans="1:2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Z266" s="58"/>
    </row>
    <row r="267" spans="1:26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Z267" s="58"/>
    </row>
    <row r="268" spans="1:26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Z268" s="58"/>
    </row>
    <row r="269" spans="1:26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Z269" s="58"/>
    </row>
    <row r="270" spans="1:26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Z270" s="58"/>
    </row>
    <row r="271" spans="1:26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Z271" s="58"/>
    </row>
    <row r="272" spans="1:26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Z272" s="58"/>
    </row>
    <row r="273" spans="1:26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Z273" s="58"/>
    </row>
    <row r="274" spans="1:26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Z274" s="58"/>
    </row>
    <row r="275" spans="1:26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Z275" s="58"/>
    </row>
    <row r="276" spans="1:2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Z276" s="58"/>
    </row>
    <row r="277" spans="1:26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Z277" s="58"/>
    </row>
    <row r="278" spans="1:26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Z278" s="58"/>
    </row>
    <row r="279" spans="1:26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Z279" s="58"/>
    </row>
    <row r="280" spans="1:26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Z280" s="58"/>
    </row>
    <row r="281" spans="1:26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Z281" s="58"/>
    </row>
    <row r="282" spans="1:26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Z282" s="58"/>
    </row>
    <row r="283" spans="1:26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Z283" s="58"/>
    </row>
    <row r="284" spans="1:26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Z284" s="58"/>
    </row>
    <row r="285" spans="1:26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Z285" s="58"/>
    </row>
    <row r="286" spans="1:2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Z286" s="58"/>
    </row>
    <row r="287" spans="1:26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Z287" s="58"/>
    </row>
    <row r="288" spans="1:26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Z288" s="58"/>
    </row>
    <row r="289" spans="1:26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Z289" s="58"/>
    </row>
    <row r="290" spans="1:26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Z290" s="58"/>
    </row>
    <row r="291" spans="1:26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Z291" s="58"/>
    </row>
    <row r="292" spans="1:26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Z292" s="58"/>
    </row>
    <row r="293" spans="1:26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Z293" s="58"/>
    </row>
    <row r="294" spans="1:26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Z294" s="58"/>
    </row>
    <row r="295" spans="1:26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Z295" s="58"/>
    </row>
    <row r="296" spans="1:2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Z296" s="58"/>
    </row>
    <row r="297" spans="1:26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Z297" s="58"/>
    </row>
    <row r="298" spans="1:26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Z298" s="58"/>
    </row>
    <row r="299" spans="1:26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Z299" s="58"/>
    </row>
    <row r="300" spans="1:26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Z300" s="58"/>
    </row>
    <row r="301" spans="1:26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Z301" s="58"/>
    </row>
    <row r="302" spans="1:26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Z302" s="58"/>
    </row>
    <row r="303" spans="1:26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Z303" s="58"/>
    </row>
    <row r="304" spans="1:26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Z304" s="58"/>
    </row>
    <row r="305" spans="1:26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Z305" s="58"/>
    </row>
    <row r="306" spans="1:2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Z306" s="58"/>
    </row>
    <row r="307" spans="1:26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Z307" s="58"/>
    </row>
    <row r="308" spans="1:26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Z308" s="58"/>
    </row>
    <row r="309" spans="1:26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Z309" s="58"/>
    </row>
    <row r="310" spans="1:26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Z310" s="58"/>
    </row>
    <row r="311" spans="1:26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Z311" s="58"/>
    </row>
    <row r="312" spans="1:26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Z312" s="58"/>
    </row>
    <row r="313" spans="1:26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Z313" s="58"/>
    </row>
    <row r="314" spans="1:26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Z314" s="58"/>
    </row>
    <row r="315" spans="1:26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Z315" s="58"/>
    </row>
    <row r="316" spans="1:2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Z316" s="58"/>
    </row>
    <row r="317" spans="1:26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Z317" s="58"/>
    </row>
    <row r="318" spans="1:26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Z318" s="58"/>
    </row>
    <row r="319" spans="1:26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Z319" s="58"/>
    </row>
    <row r="320" spans="1:26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Z320" s="58"/>
    </row>
    <row r="321" spans="1:26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Z321" s="58"/>
    </row>
    <row r="322" spans="1:26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Z322" s="58"/>
    </row>
    <row r="323" spans="1:26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Z323" s="58"/>
    </row>
    <row r="324" spans="1:26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Z324" s="58"/>
    </row>
    <row r="325" spans="1:26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Z325" s="58"/>
    </row>
    <row r="326" spans="1: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Z326" s="58"/>
    </row>
    <row r="327" spans="1:26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Z327" s="58"/>
    </row>
    <row r="328" spans="1:26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Z328" s="58"/>
    </row>
    <row r="329" spans="1:26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Z329" s="58"/>
    </row>
    <row r="330" spans="1:26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Z330" s="58"/>
    </row>
    <row r="331" spans="1:26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Z331" s="58"/>
    </row>
    <row r="332" spans="1:26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Z332" s="58"/>
    </row>
    <row r="333" spans="1:26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Z333" s="58"/>
    </row>
    <row r="334" spans="1:26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Z334" s="58"/>
    </row>
    <row r="335" spans="1:26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Z335" s="58"/>
    </row>
    <row r="336" spans="1:2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Z336" s="58"/>
    </row>
    <row r="337" spans="1:26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Z337" s="58"/>
    </row>
    <row r="338" spans="1:26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Z338" s="58"/>
    </row>
    <row r="339" spans="1:26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Z339" s="58"/>
    </row>
    <row r="340" spans="1:26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Z340" s="58"/>
    </row>
    <row r="341" spans="1:26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Z341" s="58"/>
    </row>
    <row r="342" spans="1:26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Z342" s="58"/>
    </row>
    <row r="343" spans="1:26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Z343" s="58"/>
    </row>
    <row r="344" spans="1:26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Z344" s="58"/>
    </row>
    <row r="345" spans="1:26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Z345" s="58"/>
    </row>
    <row r="346" spans="1:2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Z346" s="58"/>
    </row>
    <row r="347" spans="1:26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Z347" s="58"/>
    </row>
    <row r="348" spans="1:26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Z348" s="58"/>
    </row>
    <row r="349" spans="1:26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Z349" s="58"/>
    </row>
    <row r="350" spans="1:26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Z350" s="58"/>
    </row>
    <row r="351" spans="1:26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Z351" s="58"/>
    </row>
    <row r="352" spans="1:26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Z352" s="58"/>
    </row>
    <row r="353" spans="1:26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Z353" s="58"/>
    </row>
    <row r="354" spans="1:26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Z354" s="58"/>
    </row>
    <row r="355" spans="1:26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Z355" s="58"/>
    </row>
    <row r="356" spans="1:2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Z356" s="58"/>
    </row>
    <row r="357" spans="1:26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Z357" s="58"/>
    </row>
    <row r="358" spans="1:26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Z358" s="58"/>
    </row>
    <row r="359" spans="1:26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Z359" s="58"/>
    </row>
    <row r="360" spans="1:26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Z360" s="58"/>
    </row>
    <row r="361" spans="1:26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Z361" s="58"/>
    </row>
    <row r="362" spans="1:26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Z362" s="58"/>
    </row>
    <row r="363" spans="1:26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Z363" s="58"/>
    </row>
    <row r="364" spans="1:26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Z364" s="58"/>
    </row>
    <row r="365" spans="1:26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Z365" s="58"/>
    </row>
    <row r="366" spans="1:2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Z366" s="58"/>
    </row>
    <row r="367" spans="1:26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Z367" s="58"/>
    </row>
    <row r="368" spans="1:26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Z368" s="58"/>
    </row>
    <row r="369" spans="1:26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Z369" s="58"/>
    </row>
    <row r="370" spans="1:26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Z370" s="58"/>
    </row>
    <row r="371" spans="1:26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Z371" s="58"/>
    </row>
    <row r="372" spans="1:26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Z372" s="58"/>
    </row>
    <row r="373" spans="1:26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Z373" s="58"/>
    </row>
    <row r="374" spans="1:26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Z374" s="58"/>
    </row>
    <row r="375" spans="1:26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Z375" s="58"/>
    </row>
    <row r="376" spans="1:2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Z376" s="58"/>
    </row>
    <row r="377" spans="1:26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Z377" s="58"/>
    </row>
    <row r="378" spans="1:26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Z378" s="58"/>
    </row>
    <row r="379" spans="1:26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Z379" s="58"/>
    </row>
    <row r="380" spans="1:26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Z380" s="58"/>
    </row>
    <row r="381" spans="1:26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Z381" s="58"/>
    </row>
    <row r="382" spans="1:26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Z382" s="58"/>
    </row>
    <row r="383" spans="1:26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Z383" s="58"/>
    </row>
    <row r="384" spans="1:26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Z384" s="58"/>
    </row>
    <row r="385" spans="1:26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Z385" s="58"/>
    </row>
    <row r="386" spans="1:2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Z386" s="58"/>
    </row>
    <row r="387" spans="1:26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Z387" s="58"/>
    </row>
    <row r="388" spans="1:26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Z388" s="58"/>
    </row>
    <row r="389" spans="1:26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Z389" s="58"/>
    </row>
    <row r="390" spans="1:26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Z390" s="58"/>
    </row>
    <row r="391" spans="1:26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Z391" s="58"/>
    </row>
    <row r="392" spans="1:26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Z392" s="58"/>
    </row>
    <row r="393" spans="1:26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Z393" s="58"/>
    </row>
    <row r="394" spans="1:26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Z394" s="58"/>
    </row>
    <row r="395" spans="1:26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Z395" s="58"/>
    </row>
    <row r="396" spans="1:2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Z396" s="58"/>
    </row>
    <row r="397" spans="1:26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Z397" s="58"/>
    </row>
    <row r="398" spans="1:26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Z398" s="58"/>
    </row>
    <row r="399" spans="1:26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Z399" s="58"/>
    </row>
    <row r="400" spans="1:26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Z400" s="58"/>
    </row>
    <row r="401" spans="1:26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Z401" s="58"/>
    </row>
    <row r="402" spans="1:26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Z402" s="58"/>
    </row>
    <row r="403" spans="1:26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Z403" s="58"/>
    </row>
    <row r="404" spans="1:26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Z404" s="58"/>
    </row>
    <row r="405" spans="1:26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Z405" s="58"/>
    </row>
    <row r="406" spans="1:2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Z406" s="58"/>
    </row>
    <row r="407" spans="1:26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Z407" s="58"/>
    </row>
    <row r="408" spans="1:26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Z408" s="58"/>
    </row>
    <row r="409" spans="1:26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Z409" s="58"/>
    </row>
    <row r="410" spans="1:26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Z410" s="58"/>
    </row>
    <row r="411" spans="1:26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Z411" s="58"/>
    </row>
    <row r="412" spans="1:26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Z412" s="58"/>
    </row>
    <row r="413" spans="1:26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Z413" s="58"/>
    </row>
    <row r="414" spans="1:26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Z414" s="58"/>
    </row>
    <row r="415" spans="1:26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Z415" s="58"/>
    </row>
    <row r="416" spans="1:2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Z416" s="58"/>
    </row>
    <row r="417" spans="1:26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Z417" s="58"/>
    </row>
    <row r="418" spans="1:26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Z418" s="58"/>
    </row>
    <row r="419" spans="1:26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Z419" s="58"/>
    </row>
    <row r="420" spans="1:26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Z420" s="58"/>
    </row>
    <row r="421" spans="1:26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Z421" s="58"/>
    </row>
    <row r="422" spans="1:26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Z422" s="58"/>
    </row>
    <row r="423" spans="1:26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Z423" s="58"/>
    </row>
    <row r="424" spans="1:26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Z424" s="58"/>
    </row>
    <row r="425" spans="1:26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Z425" s="58"/>
    </row>
    <row r="426" spans="1: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Z426" s="58"/>
    </row>
    <row r="427" spans="1:26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Z427" s="58"/>
    </row>
    <row r="428" spans="1:26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Z428" s="58"/>
    </row>
    <row r="429" spans="1:26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Z429" s="58"/>
    </row>
    <row r="430" spans="1:26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Z430" s="58"/>
    </row>
    <row r="431" spans="1:26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Z431" s="58"/>
    </row>
    <row r="432" spans="1:26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Z432" s="58"/>
    </row>
    <row r="433" spans="1:26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Z433" s="58"/>
    </row>
    <row r="434" spans="1:26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Z434" s="58"/>
    </row>
    <row r="435" spans="1:26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Z435" s="58"/>
    </row>
    <row r="436" spans="1:2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Z436" s="58"/>
    </row>
    <row r="437" spans="1:26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Z437" s="58"/>
    </row>
    <row r="438" spans="1:26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Z438" s="58"/>
    </row>
    <row r="439" spans="1:26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Z439" s="58"/>
    </row>
    <row r="440" spans="1:26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Z440" s="58"/>
    </row>
    <row r="441" spans="1:26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Z441" s="58"/>
    </row>
    <row r="442" spans="1:26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Z442" s="58"/>
    </row>
    <row r="443" spans="1:26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Z443" s="58"/>
    </row>
    <row r="444" spans="1:26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Z444" s="58"/>
    </row>
    <row r="445" spans="1:26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Z445" s="58"/>
    </row>
    <row r="446" spans="1:2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Z446" s="58"/>
    </row>
    <row r="447" spans="1:26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Z447" s="58"/>
    </row>
    <row r="448" spans="1:26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Z448" s="58"/>
    </row>
    <row r="449" spans="1:26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Z449" s="58"/>
    </row>
    <row r="450" spans="1:26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Z450" s="58"/>
    </row>
    <row r="451" spans="1:26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Z451" s="58"/>
    </row>
    <row r="452" spans="1:26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Z452" s="58"/>
    </row>
    <row r="453" spans="1:26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Z453" s="58"/>
    </row>
    <row r="454" spans="1:26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Z454" s="58"/>
    </row>
    <row r="455" spans="1:26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Z455" s="58"/>
    </row>
    <row r="456" spans="1:2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Z456" s="58"/>
    </row>
    <row r="457" spans="1:26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Z457" s="58"/>
    </row>
    <row r="458" spans="1:26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Z458" s="58"/>
    </row>
    <row r="459" spans="1:26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Z459" s="58"/>
    </row>
    <row r="460" spans="1:26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Z460" s="58"/>
    </row>
    <row r="461" spans="1:26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Z461" s="58"/>
    </row>
    <row r="462" spans="1:26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Z462" s="58"/>
    </row>
    <row r="463" spans="1:26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Z463" s="58"/>
    </row>
    <row r="464" spans="1:26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Z464" s="58"/>
    </row>
    <row r="465" spans="1:26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Z465" s="58"/>
    </row>
    <row r="466" spans="1:2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Z466" s="58"/>
    </row>
    <row r="467" spans="1:26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Z467" s="58"/>
    </row>
    <row r="468" spans="1:26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Z468" s="58"/>
    </row>
    <row r="469" spans="1:26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Z469" s="58"/>
    </row>
    <row r="470" spans="1:26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Z470" s="58"/>
    </row>
    <row r="471" spans="1:26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Z471" s="58"/>
    </row>
    <row r="472" spans="1:26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Z472" s="58"/>
    </row>
    <row r="473" spans="1:26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Z473" s="58"/>
    </row>
    <row r="474" spans="1:26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Z474" s="58"/>
    </row>
    <row r="475" spans="1:26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Z475" s="58"/>
    </row>
    <row r="476" spans="1:2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Z476" s="58"/>
    </row>
    <row r="477" spans="1:26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Z477" s="58"/>
    </row>
    <row r="478" spans="1:26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Z478" s="58"/>
    </row>
    <row r="479" spans="1:26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Z479" s="58"/>
    </row>
    <row r="480" spans="1:26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Z480" s="58"/>
    </row>
    <row r="481" spans="1:26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Z481" s="58"/>
    </row>
    <row r="482" spans="1:26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Z482" s="58"/>
    </row>
    <row r="483" spans="1:26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Z483" s="58"/>
    </row>
    <row r="484" spans="1:26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Z484" s="58"/>
    </row>
    <row r="485" spans="1:26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Z485" s="58"/>
    </row>
    <row r="486" spans="1:2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Z486" s="58"/>
    </row>
    <row r="487" spans="1:26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Z487" s="58"/>
    </row>
    <row r="488" spans="1:26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Z488" s="58"/>
    </row>
    <row r="489" spans="1:26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Z489" s="58"/>
    </row>
    <row r="490" spans="1:26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Z490" s="58"/>
    </row>
    <row r="491" spans="1:26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Z491" s="58"/>
    </row>
    <row r="492" spans="1:26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Z492" s="58"/>
    </row>
    <row r="493" spans="1:26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Z493" s="58"/>
    </row>
    <row r="494" spans="1:26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Z494" s="58"/>
    </row>
    <row r="495" spans="1:26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Z495" s="58"/>
    </row>
    <row r="496" spans="1:2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Z496" s="58"/>
    </row>
    <row r="497" spans="1:26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Z497" s="58"/>
    </row>
    <row r="498" spans="1:26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Z498" s="58"/>
    </row>
    <row r="499" spans="1:26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Z499" s="58"/>
    </row>
    <row r="500" spans="1:26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Z500" s="58"/>
    </row>
    <row r="501" spans="1:26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Z501" s="58"/>
    </row>
    <row r="502" spans="1:26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Z502" s="58"/>
    </row>
    <row r="503" spans="1:26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Z503" s="58"/>
    </row>
    <row r="504" spans="1:26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Z504" s="58"/>
    </row>
    <row r="505" spans="1:26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Z505" s="58"/>
    </row>
    <row r="506" spans="1:2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Z506" s="58"/>
    </row>
    <row r="507" spans="1:26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Z507" s="58"/>
    </row>
    <row r="508" spans="1:26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Z508" s="58"/>
    </row>
    <row r="509" spans="1:26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Z509" s="58"/>
    </row>
    <row r="510" spans="1:26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Z510" s="58"/>
    </row>
    <row r="511" spans="1:26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Z511" s="58"/>
    </row>
    <row r="512" spans="1:26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Z512" s="58"/>
    </row>
    <row r="513" spans="1:26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Z513" s="58"/>
    </row>
    <row r="514" spans="1:26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Z514" s="58"/>
    </row>
    <row r="515" spans="1:26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Z515" s="58"/>
    </row>
    <row r="516" spans="1:2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Z516" s="58"/>
    </row>
    <row r="517" spans="1:26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Z517" s="58"/>
    </row>
    <row r="518" spans="1:26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Z518" s="58"/>
    </row>
    <row r="519" spans="1:26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Z519" s="58"/>
    </row>
    <row r="520" spans="1:26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Z520" s="58"/>
    </row>
    <row r="521" spans="1:26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Z521" s="58"/>
    </row>
    <row r="522" spans="1:26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Z522" s="58"/>
    </row>
    <row r="523" spans="1:26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Z523" s="58"/>
    </row>
    <row r="524" spans="1:26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Z524" s="58"/>
    </row>
    <row r="525" spans="1:26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Z525" s="58"/>
    </row>
    <row r="526" spans="1: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Z526" s="58"/>
    </row>
    <row r="527" spans="1:26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Z527" s="58"/>
    </row>
    <row r="528" spans="1:26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Z528" s="58"/>
    </row>
    <row r="529" spans="1:26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Z529" s="58"/>
    </row>
    <row r="530" spans="1:26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Z530" s="58"/>
    </row>
    <row r="531" spans="1:26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Z531" s="58"/>
    </row>
    <row r="532" spans="1:26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Z532" s="58"/>
    </row>
    <row r="533" spans="1:26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Z533" s="58"/>
    </row>
    <row r="534" spans="1:26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Z534" s="58"/>
    </row>
    <row r="535" spans="1:26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Z535" s="58"/>
    </row>
    <row r="536" spans="1:2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Z536" s="58"/>
    </row>
    <row r="537" spans="1:26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Z537" s="58"/>
    </row>
    <row r="538" spans="1:26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Z538" s="58"/>
    </row>
    <row r="539" spans="1:26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Z539" s="58"/>
    </row>
    <row r="540" spans="1:26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Z540" s="58"/>
    </row>
    <row r="541" spans="1:26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Z541" s="58"/>
    </row>
    <row r="542" spans="1:26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Z542" s="58"/>
    </row>
    <row r="543" spans="1:26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Z543" s="58"/>
    </row>
    <row r="544" spans="1:26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Z544" s="58"/>
    </row>
    <row r="545" spans="1:26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Z545" s="58"/>
    </row>
    <row r="546" spans="1:2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Z546" s="58"/>
    </row>
    <row r="547" spans="1:26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Z547" s="58"/>
    </row>
    <row r="548" spans="1:26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Z548" s="58"/>
    </row>
    <row r="549" spans="1:26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Z549" s="58"/>
    </row>
    <row r="550" spans="1:26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Z550" s="58"/>
    </row>
    <row r="551" spans="1:26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Z551" s="58"/>
    </row>
    <row r="552" spans="1:26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Z552" s="58"/>
    </row>
    <row r="553" spans="1:26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Z553" s="58"/>
    </row>
    <row r="554" spans="1:26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Z554" s="58"/>
    </row>
    <row r="555" spans="1:26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Z555" s="58"/>
    </row>
    <row r="556" spans="1:2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Z556" s="58"/>
    </row>
    <row r="557" spans="1:26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Z557" s="58"/>
    </row>
    <row r="558" spans="1:26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Z558" s="58"/>
    </row>
    <row r="559" spans="1:26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Z559" s="58"/>
    </row>
    <row r="560" spans="1:26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Z560" s="58"/>
    </row>
    <row r="561" spans="1:26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Z561" s="58"/>
    </row>
    <row r="562" spans="1:26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Z562" s="58"/>
    </row>
    <row r="563" spans="1:26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Z563" s="58"/>
    </row>
    <row r="564" spans="1:26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Z564" s="58"/>
    </row>
    <row r="565" spans="1:26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Z565" s="58"/>
    </row>
    <row r="566" spans="1:2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Z566" s="58"/>
    </row>
    <row r="567" spans="1:26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Z567" s="58"/>
    </row>
    <row r="568" spans="1:26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Z568" s="58"/>
    </row>
    <row r="569" spans="1:26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Z569" s="58"/>
    </row>
    <row r="570" spans="1:26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Z570" s="58"/>
    </row>
    <row r="571" spans="1:26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Z571" s="58"/>
    </row>
    <row r="572" spans="1:26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Z572" s="58"/>
    </row>
    <row r="573" spans="1:26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Z573" s="58"/>
    </row>
    <row r="574" spans="1:26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Z574" s="58"/>
    </row>
    <row r="575" spans="1:26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Z575" s="58"/>
    </row>
    <row r="576" spans="1:2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Z576" s="58"/>
    </row>
    <row r="577" spans="1:26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Z577" s="58"/>
    </row>
    <row r="578" spans="1:26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Z578" s="58"/>
    </row>
    <row r="579" spans="1:26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Z579" s="58"/>
    </row>
    <row r="580" spans="1:26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Z580" s="58"/>
    </row>
    <row r="581" spans="1:26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Z581" s="58"/>
    </row>
    <row r="582" spans="1:26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Z582" s="58"/>
    </row>
    <row r="583" spans="1:26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Z583" s="58"/>
    </row>
    <row r="584" spans="1:26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Z584" s="58"/>
    </row>
    <row r="585" spans="1:26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Z585" s="58"/>
    </row>
    <row r="586" spans="1:2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Z586" s="58"/>
    </row>
    <row r="587" spans="1:26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Z587" s="58"/>
    </row>
    <row r="588" spans="1:26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Z588" s="58"/>
    </row>
    <row r="589" spans="1:26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Z589" s="58"/>
    </row>
    <row r="590" spans="1:26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Z590" s="58"/>
    </row>
    <row r="591" spans="1:26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Z591" s="58"/>
    </row>
    <row r="592" spans="1:26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Z592" s="58"/>
    </row>
    <row r="593" spans="1:26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Z593" s="58"/>
    </row>
    <row r="594" spans="1:26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Z594" s="58"/>
    </row>
    <row r="595" spans="1:26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Z595" s="58"/>
    </row>
    <row r="596" spans="1:2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Z596" s="58"/>
    </row>
    <row r="597" spans="1:26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Z597" s="58"/>
    </row>
    <row r="598" spans="1:26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Z598" s="58"/>
    </row>
    <row r="599" spans="1:26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Z599" s="58"/>
    </row>
    <row r="600" spans="1:26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Z600" s="58"/>
    </row>
    <row r="601" spans="1:26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Z601" s="58"/>
    </row>
    <row r="602" spans="1:26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Z602" s="58"/>
    </row>
    <row r="603" spans="1:26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Z603" s="58"/>
    </row>
    <row r="604" spans="1:26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Z604" s="58"/>
    </row>
    <row r="605" spans="1:26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Z605" s="58"/>
    </row>
    <row r="606" spans="1:2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Z606" s="58"/>
    </row>
    <row r="607" spans="1:26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Z607" s="58"/>
    </row>
    <row r="608" spans="1:26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Z608" s="58"/>
    </row>
    <row r="609" spans="1:26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Z609" s="58"/>
    </row>
    <row r="610" spans="1:26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Z610" s="58"/>
    </row>
    <row r="611" spans="1:26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Z611" s="58"/>
    </row>
    <row r="612" spans="1:26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Z612" s="58"/>
    </row>
    <row r="613" spans="1:26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Z613" s="58"/>
    </row>
    <row r="614" spans="1:26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Z614" s="58"/>
    </row>
    <row r="615" spans="1:26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Z615" s="58"/>
    </row>
    <row r="616" spans="1:2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Z616" s="58"/>
    </row>
    <row r="617" spans="1:26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Z617" s="58"/>
    </row>
    <row r="618" spans="1:26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Z618" s="58"/>
    </row>
    <row r="619" spans="1:26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Z619" s="58"/>
    </row>
    <row r="620" spans="1:26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Z620" s="58"/>
    </row>
    <row r="621" spans="1:26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Z621" s="58"/>
    </row>
    <row r="622" spans="1:26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Z622" s="58"/>
    </row>
    <row r="623" spans="1:26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Z623" s="58"/>
    </row>
    <row r="624" spans="1:26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Z624" s="58"/>
    </row>
    <row r="625" spans="1:26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Z625" s="58"/>
    </row>
    <row r="626" spans="1: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Z626" s="58"/>
    </row>
    <row r="627" spans="1:26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Z627" s="58"/>
    </row>
    <row r="628" spans="1:26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Z628" s="58"/>
    </row>
    <row r="629" spans="1:26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Z629" s="58"/>
    </row>
    <row r="630" spans="1:26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Z630" s="58"/>
    </row>
    <row r="631" spans="1:26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Z631" s="58"/>
    </row>
    <row r="632" spans="1:26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Z632" s="58"/>
    </row>
    <row r="633" spans="1:26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Z633" s="58"/>
    </row>
    <row r="634" spans="1:26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Z634" s="58"/>
    </row>
    <row r="635" spans="1:26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Z635" s="58"/>
    </row>
    <row r="636" spans="1:2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Z636" s="58"/>
    </row>
    <row r="637" spans="1:26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Z637" s="58"/>
    </row>
    <row r="638" spans="1:26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Z638" s="58"/>
    </row>
    <row r="639" spans="1:26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Z639" s="58"/>
    </row>
    <row r="640" spans="1:26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Z640" s="58"/>
    </row>
    <row r="641" spans="1:26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Z641" s="58"/>
    </row>
    <row r="642" spans="1:26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Z642" s="58"/>
    </row>
    <row r="643" spans="1:26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Z643" s="58"/>
    </row>
    <row r="644" spans="1:26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Z644" s="58"/>
    </row>
    <row r="645" spans="1:26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Z645" s="58"/>
    </row>
    <row r="646" spans="1:2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Z646" s="58"/>
    </row>
    <row r="647" spans="1:26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Z647" s="58"/>
    </row>
    <row r="648" spans="1:26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Z648" s="58"/>
    </row>
    <row r="649" spans="1:26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Z649" s="58"/>
    </row>
    <row r="650" spans="1:26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Z650" s="58"/>
    </row>
    <row r="651" spans="1:26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Z651" s="58"/>
    </row>
    <row r="652" spans="1:26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Z652" s="58"/>
    </row>
    <row r="653" spans="1:26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Z653" s="58"/>
    </row>
    <row r="654" spans="1:26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Z654" s="58"/>
    </row>
    <row r="655" spans="1:26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Z655" s="58"/>
    </row>
    <row r="656" spans="1:2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Z656" s="58"/>
    </row>
    <row r="657" spans="1:26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Z657" s="58"/>
    </row>
    <row r="658" spans="1:26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Z658" s="58"/>
    </row>
    <row r="659" spans="1:26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Z659" s="58"/>
    </row>
    <row r="660" spans="1:26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Z660" s="58"/>
    </row>
    <row r="661" spans="1:26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Z661" s="58"/>
    </row>
    <row r="662" spans="1:26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Z662" s="58"/>
    </row>
    <row r="663" spans="1:26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Z663" s="58"/>
    </row>
    <row r="664" spans="1:26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Z664" s="58"/>
    </row>
    <row r="665" spans="1:26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Z665" s="58"/>
    </row>
    <row r="666" spans="1:2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Z666" s="58"/>
    </row>
    <row r="667" spans="1:26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Z667" s="58"/>
    </row>
    <row r="668" spans="1:26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Z668" s="58"/>
    </row>
    <row r="669" spans="1:26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Z669" s="58"/>
    </row>
    <row r="670" spans="1:26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Z670" s="58"/>
    </row>
    <row r="671" spans="1:26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Z671" s="58"/>
    </row>
    <row r="672" spans="1:26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Z672" s="58"/>
    </row>
    <row r="673" spans="1:26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Z673" s="58"/>
    </row>
    <row r="674" spans="1:26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Z674" s="58"/>
    </row>
    <row r="675" spans="1:26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Z675" s="58"/>
    </row>
    <row r="676" spans="1:2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Z676" s="58"/>
    </row>
    <row r="677" spans="1:26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Z677" s="58"/>
    </row>
    <row r="678" spans="1:26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Z678" s="58"/>
    </row>
    <row r="679" spans="1:26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Z679" s="58"/>
    </row>
    <row r="680" spans="1:26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Z680" s="58"/>
    </row>
    <row r="681" spans="1:26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Z681" s="58"/>
    </row>
    <row r="682" spans="1:26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Z682" s="58"/>
    </row>
    <row r="683" spans="1:26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Z683" s="58"/>
    </row>
    <row r="684" spans="1:26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Z684" s="58"/>
    </row>
    <row r="685" spans="1:26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Z685" s="58"/>
    </row>
    <row r="686" spans="1:2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Z686" s="58"/>
    </row>
    <row r="687" spans="1:26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Z687" s="58"/>
    </row>
    <row r="688" spans="1:26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Z688" s="58"/>
    </row>
    <row r="689" spans="1:26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Z689" s="58"/>
    </row>
    <row r="690" spans="1:26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Z690" s="58"/>
    </row>
    <row r="691" spans="1:26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Z691" s="58"/>
    </row>
    <row r="692" spans="1:26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Z692" s="58"/>
    </row>
    <row r="693" spans="1:26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Z693" s="58"/>
    </row>
    <row r="694" spans="1:26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Z694" s="58"/>
    </row>
    <row r="695" spans="1:26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Z695" s="58"/>
    </row>
    <row r="696" spans="1:2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Z696" s="58"/>
    </row>
    <row r="697" spans="1:26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Z697" s="58"/>
    </row>
    <row r="698" spans="1:26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Z698" s="58"/>
    </row>
    <row r="699" spans="1:26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Z699" s="58"/>
    </row>
    <row r="700" spans="1:26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Z700" s="58"/>
    </row>
    <row r="701" spans="1:26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Z701" s="58"/>
    </row>
    <row r="702" spans="1:26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Z702" s="58"/>
    </row>
    <row r="703" spans="1:26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Z703" s="58"/>
    </row>
    <row r="704" spans="1:26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Z704" s="58"/>
    </row>
    <row r="705" spans="1:26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Z705" s="58"/>
    </row>
    <row r="706" spans="1:2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Z706" s="58"/>
    </row>
    <row r="707" spans="1:26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Z707" s="58"/>
    </row>
    <row r="708" spans="1:26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Z708" s="58"/>
    </row>
    <row r="709" spans="1:26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Z709" s="58"/>
    </row>
    <row r="710" spans="1:26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Z710" s="58"/>
    </row>
    <row r="711" spans="1:26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Z711" s="58"/>
    </row>
    <row r="712" spans="1:26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Z712" s="58"/>
    </row>
    <row r="713" spans="1:26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Z713" s="58"/>
    </row>
    <row r="714" spans="1:26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Z714" s="58"/>
    </row>
    <row r="715" spans="1:26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Z715" s="58"/>
    </row>
    <row r="716" spans="1:2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Z716" s="58"/>
    </row>
    <row r="717" spans="1:26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Z717" s="58"/>
    </row>
    <row r="718" spans="1:26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Z718" s="58"/>
    </row>
    <row r="719" spans="1:26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Z719" s="58"/>
    </row>
    <row r="720" spans="1:26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Z720" s="58"/>
    </row>
    <row r="721" spans="1:26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Z721" s="58"/>
    </row>
    <row r="722" spans="1:26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Z722" s="58"/>
    </row>
    <row r="723" spans="1:26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Z723" s="58"/>
    </row>
    <row r="724" spans="1:26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Z724" s="58"/>
    </row>
    <row r="725" spans="1:26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Z725" s="58"/>
    </row>
    <row r="726" spans="1: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Z726" s="58"/>
    </row>
    <row r="727" spans="1:26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Z727" s="58"/>
    </row>
    <row r="728" spans="1:26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Z728" s="58"/>
    </row>
    <row r="729" spans="1:26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Z729" s="58"/>
    </row>
    <row r="730" spans="1:26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Z730" s="58"/>
    </row>
    <row r="731" spans="1:26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Z731" s="58"/>
    </row>
    <row r="732" spans="1:26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Z732" s="58"/>
    </row>
    <row r="733" spans="1:26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Z733" s="58"/>
    </row>
    <row r="734" spans="1:26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Z734" s="58"/>
    </row>
    <row r="735" spans="1:26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Z735" s="58"/>
    </row>
    <row r="736" spans="1:2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Z736" s="58"/>
    </row>
    <row r="737" spans="1:26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Z737" s="58"/>
    </row>
    <row r="738" spans="1:26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Z738" s="58"/>
    </row>
    <row r="739" spans="1:26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Z739" s="58"/>
    </row>
    <row r="740" spans="1:26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Z740" s="58"/>
    </row>
    <row r="741" spans="1:26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Z741" s="58"/>
    </row>
    <row r="742" spans="1:26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Z742" s="58"/>
    </row>
    <row r="743" spans="1:26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Z743" s="58"/>
    </row>
    <row r="744" spans="1:26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Z744" s="58"/>
    </row>
    <row r="745" spans="1:26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Z745" s="58"/>
    </row>
    <row r="746" spans="1:2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Z746" s="58"/>
    </row>
    <row r="747" spans="1:26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Z747" s="58"/>
    </row>
    <row r="748" spans="1:26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Z748" s="58"/>
    </row>
    <row r="749" spans="1:26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Z749" s="58"/>
    </row>
    <row r="750" spans="1:26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Z750" s="58"/>
    </row>
    <row r="751" spans="1:26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Z751" s="58"/>
    </row>
    <row r="752" spans="1:26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Z752" s="58"/>
    </row>
    <row r="753" spans="1:26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Z753" s="58"/>
    </row>
    <row r="754" spans="1:26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Z754" s="58"/>
    </row>
    <row r="755" spans="1:26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Z755" s="58"/>
    </row>
    <row r="756" spans="1:2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Z756" s="58"/>
    </row>
    <row r="757" spans="1:26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Z757" s="58"/>
    </row>
    <row r="758" spans="1:26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Z758" s="58"/>
    </row>
    <row r="759" spans="1:26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Z759" s="58"/>
    </row>
    <row r="760" spans="1:26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Z760" s="58"/>
    </row>
    <row r="761" spans="1:26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Z761" s="58"/>
    </row>
    <row r="762" spans="1:26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Z762" s="58"/>
    </row>
    <row r="763" spans="1:26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Z763" s="58"/>
    </row>
    <row r="764" spans="1:26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Z764" s="58"/>
    </row>
    <row r="765" spans="1:26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Z765" s="58"/>
    </row>
    <row r="766" spans="1:2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Z766" s="58"/>
    </row>
    <row r="767" spans="1:26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Z767" s="58"/>
    </row>
    <row r="768" spans="1:26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Z768" s="58"/>
    </row>
    <row r="769" spans="1:26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Z769" s="58"/>
    </row>
    <row r="770" spans="1:26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Z770" s="58"/>
    </row>
    <row r="771" spans="1:26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Z771" s="58"/>
    </row>
    <row r="772" spans="1:26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Z772" s="58"/>
    </row>
    <row r="773" spans="1:26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Z773" s="58"/>
    </row>
    <row r="774" spans="1:26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Z774" s="58"/>
    </row>
    <row r="775" spans="1:26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Z775" s="58"/>
    </row>
    <row r="776" spans="1:2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Z776" s="58"/>
    </row>
    <row r="777" spans="1:26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Z777" s="58"/>
    </row>
    <row r="778" spans="1:26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Z778" s="58"/>
    </row>
    <row r="779" spans="1:26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Z779" s="58"/>
    </row>
    <row r="780" spans="1:26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Z780" s="58"/>
    </row>
    <row r="781" spans="1:26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Z781" s="58"/>
    </row>
    <row r="782" spans="1:26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Z782" s="58"/>
    </row>
    <row r="783" spans="1:26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Z783" s="58"/>
    </row>
    <row r="784" spans="1:26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Z784" s="58"/>
    </row>
    <row r="785" spans="1:26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Z785" s="58"/>
    </row>
    <row r="786" spans="1:2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Z786" s="58"/>
    </row>
    <row r="787" spans="1:26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Z787" s="58"/>
    </row>
    <row r="788" spans="1:26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Z788" s="58"/>
    </row>
    <row r="789" spans="1:26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Z789" s="58"/>
    </row>
    <row r="790" spans="1:26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Z790" s="58"/>
    </row>
    <row r="791" spans="1:26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Z791" s="58"/>
    </row>
    <row r="792" spans="1:26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Z792" s="58"/>
    </row>
    <row r="793" spans="1:26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Z793" s="58"/>
    </row>
    <row r="794" spans="1:26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Z794" s="58"/>
    </row>
    <row r="795" spans="1:26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Z795" s="58"/>
    </row>
    <row r="796" spans="1:2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Z796" s="58"/>
    </row>
    <row r="797" spans="1:26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Z797" s="58"/>
    </row>
    <row r="798" spans="1:26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Z798" s="58"/>
    </row>
    <row r="799" spans="1:26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Z799" s="58"/>
    </row>
    <row r="800" spans="1:26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Z800" s="58"/>
    </row>
    <row r="801" spans="1:26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Z801" s="58"/>
    </row>
    <row r="802" spans="1:26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Z802" s="58"/>
    </row>
    <row r="803" spans="1:26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Z803" s="58"/>
    </row>
    <row r="804" spans="1:26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Z804" s="58"/>
    </row>
    <row r="805" spans="1:26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Z805" s="58"/>
    </row>
    <row r="806" spans="1:2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Z806" s="58"/>
    </row>
    <row r="807" spans="1:26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Z807" s="58"/>
    </row>
    <row r="808" spans="1:26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Z808" s="58"/>
    </row>
    <row r="809" spans="1:26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Z809" s="58"/>
    </row>
    <row r="810" spans="1:26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Z810" s="58"/>
    </row>
    <row r="811" spans="1:26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Z811" s="58"/>
    </row>
    <row r="812" spans="1:26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Z812" s="58"/>
    </row>
    <row r="813" spans="1:26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Z813" s="58"/>
    </row>
    <row r="814" spans="1:26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Z814" s="58"/>
    </row>
    <row r="815" spans="1:26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Z815" s="58"/>
    </row>
    <row r="816" spans="1:2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Z816" s="58"/>
    </row>
    <row r="817" spans="1:26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Z817" s="58"/>
    </row>
    <row r="818" spans="1:26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Z818" s="58"/>
    </row>
    <row r="819" spans="1:26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Z819" s="58"/>
    </row>
    <row r="820" spans="1:26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Z820" s="58"/>
    </row>
    <row r="821" spans="1:26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Z821" s="58"/>
    </row>
    <row r="822" spans="1:26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Z822" s="58"/>
    </row>
    <row r="823" spans="1:26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Z823" s="58"/>
    </row>
    <row r="824" spans="1:26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Z824" s="58"/>
    </row>
    <row r="825" spans="1:26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Z825" s="58"/>
    </row>
    <row r="826" spans="1: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Z826" s="58"/>
    </row>
    <row r="827" spans="1:26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Z827" s="58"/>
    </row>
    <row r="828" spans="1:26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Z828" s="58"/>
    </row>
    <row r="829" spans="1:26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Z829" s="58"/>
    </row>
    <row r="830" spans="1:26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Z830" s="58"/>
    </row>
    <row r="831" spans="1:26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Z831" s="58"/>
    </row>
    <row r="832" spans="1:26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Z832" s="58"/>
    </row>
    <row r="833" spans="1:26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Z833" s="58"/>
    </row>
    <row r="834" spans="1:26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Z834" s="58"/>
    </row>
    <row r="835" spans="1:26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Z835" s="58"/>
    </row>
    <row r="836" spans="1:2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Z836" s="58"/>
    </row>
    <row r="837" spans="1:26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Z837" s="58"/>
    </row>
    <row r="838" spans="1:26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Z838" s="58"/>
    </row>
    <row r="839" spans="1:26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Z839" s="58"/>
    </row>
    <row r="840" spans="1:26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Z840" s="58"/>
    </row>
    <row r="841" spans="1:26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Z841" s="58"/>
    </row>
    <row r="842" spans="1:26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Z842" s="58"/>
    </row>
    <row r="843" spans="1:26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Z843" s="58"/>
    </row>
    <row r="844" spans="1:26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Z844" s="58"/>
    </row>
    <row r="845" spans="1:26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Z845" s="58"/>
    </row>
    <row r="846" spans="1:2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Z846" s="58"/>
    </row>
    <row r="847" spans="1:26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Z847" s="58"/>
    </row>
    <row r="848" spans="1:26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Z848" s="58"/>
    </row>
    <row r="849" spans="1:26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Z849" s="58"/>
    </row>
    <row r="850" spans="1:26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Z850" s="58"/>
    </row>
    <row r="851" spans="1:26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Z851" s="58"/>
    </row>
    <row r="852" spans="1:26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Z852" s="58"/>
    </row>
    <row r="853" spans="1:26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Z853" s="58"/>
    </row>
    <row r="854" spans="1:26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Z854" s="58"/>
    </row>
    <row r="855" spans="1:26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Z855" s="58"/>
    </row>
    <row r="856" spans="1:2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Z856" s="58"/>
    </row>
    <row r="857" spans="1:26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Z857" s="58"/>
    </row>
    <row r="858" spans="1:26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Z858" s="58"/>
    </row>
    <row r="859" spans="1:26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Z859" s="58"/>
    </row>
    <row r="860" spans="1:26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Z860" s="58"/>
    </row>
    <row r="861" spans="1:26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Z861" s="58"/>
    </row>
    <row r="862" spans="1:26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Z862" s="58"/>
    </row>
    <row r="863" spans="1:26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Z863" s="58"/>
    </row>
    <row r="864" spans="1:26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Z864" s="58"/>
    </row>
    <row r="865" spans="1:26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Z865" s="58"/>
    </row>
    <row r="866" spans="1:2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Z866" s="58"/>
    </row>
    <row r="867" spans="1:26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Z867" s="58"/>
    </row>
    <row r="868" spans="1:26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Z868" s="58"/>
    </row>
    <row r="869" spans="1:26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Z869" s="58"/>
    </row>
    <row r="870" spans="1:26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Z870" s="58"/>
    </row>
    <row r="871" spans="1:26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Z871" s="58"/>
    </row>
    <row r="872" spans="1:26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Z872" s="58"/>
    </row>
    <row r="873" spans="1:26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Z873" s="58"/>
    </row>
    <row r="874" spans="1:26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Z874" s="58"/>
    </row>
    <row r="875" spans="1:26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Z875" s="58"/>
    </row>
    <row r="876" spans="1:2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Z876" s="58"/>
    </row>
    <row r="877" spans="1:26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Z877" s="58"/>
    </row>
    <row r="878" spans="1:26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Z878" s="58"/>
    </row>
    <row r="879" spans="1:26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Z879" s="58"/>
    </row>
    <row r="880" spans="1:26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Z880" s="58"/>
    </row>
    <row r="881" spans="1:26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Z881" s="58"/>
    </row>
    <row r="882" spans="1:26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Z882" s="58"/>
    </row>
    <row r="883" spans="1:26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Z883" s="58"/>
    </row>
    <row r="884" spans="1:26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Z884" s="58"/>
    </row>
    <row r="885" spans="1:26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Z885" s="58"/>
    </row>
    <row r="886" spans="1:2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Z886" s="58"/>
    </row>
    <row r="887" spans="1:26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Z887" s="58"/>
    </row>
    <row r="888" spans="1:26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Z888" s="58"/>
    </row>
    <row r="889" spans="1:26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Z889" s="58"/>
    </row>
    <row r="890" spans="1:26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Z890" s="58"/>
    </row>
    <row r="891" spans="1:26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Z891" s="58"/>
    </row>
    <row r="892" spans="1:26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Z892" s="58"/>
    </row>
    <row r="893" spans="1:26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Z893" s="58"/>
    </row>
    <row r="894" spans="1:26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Z894" s="58"/>
    </row>
    <row r="895" spans="1:26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Z895" s="58"/>
    </row>
    <row r="896" spans="1:2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Z896" s="58"/>
    </row>
    <row r="897" spans="1:26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Z897" s="58"/>
    </row>
    <row r="898" spans="1:26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Z898" s="58"/>
    </row>
    <row r="899" spans="1:26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Z899" s="58"/>
    </row>
    <row r="900" spans="1:26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Z900" s="58"/>
    </row>
    <row r="901" spans="1:26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Z901" s="58"/>
    </row>
    <row r="902" spans="1:26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Z902" s="58"/>
    </row>
    <row r="903" spans="1:26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Z903" s="58"/>
    </row>
    <row r="904" spans="1:26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Z904" s="58"/>
    </row>
    <row r="905" spans="1:26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Z905" s="58"/>
    </row>
    <row r="906" spans="1:2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Z906" s="58"/>
    </row>
    <row r="907" spans="1:26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Z907" s="58"/>
    </row>
    <row r="908" spans="1:26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Z908" s="58"/>
    </row>
    <row r="909" spans="1:26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Z909" s="58"/>
    </row>
    <row r="910" spans="1:26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Z910" s="58"/>
    </row>
    <row r="911" spans="1:26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Z911" s="58"/>
    </row>
    <row r="912" spans="1:26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Z912" s="58"/>
    </row>
    <row r="913" spans="1:26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Z913" s="58"/>
    </row>
    <row r="914" spans="1:26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Z914" s="58"/>
    </row>
    <row r="915" spans="1:26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Z915" s="58"/>
    </row>
    <row r="916" spans="1:2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Z916" s="58"/>
    </row>
    <row r="917" spans="1:26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Z917" s="58"/>
    </row>
    <row r="918" spans="1:26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Z918" s="58"/>
    </row>
    <row r="919" spans="1:26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Z919" s="58"/>
    </row>
    <row r="920" spans="1:26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Z920" s="58"/>
    </row>
    <row r="921" spans="1:26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Z921" s="58"/>
    </row>
    <row r="922" spans="1:26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Z922" s="58"/>
    </row>
    <row r="923" spans="1:26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Z923" s="58"/>
    </row>
    <row r="924" spans="1:26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Z924" s="58"/>
    </row>
    <row r="925" spans="1:26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Z925" s="58"/>
    </row>
    <row r="926" spans="1: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Z926" s="58"/>
    </row>
    <row r="927" spans="1:26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Z927" s="58"/>
    </row>
    <row r="928" spans="1:26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Z928" s="58"/>
    </row>
    <row r="929" spans="1:26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Z929" s="58"/>
    </row>
    <row r="930" spans="1:26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Z930" s="58"/>
    </row>
    <row r="931" spans="1:26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Z931" s="58"/>
    </row>
    <row r="932" spans="1:26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Z932" s="58"/>
    </row>
    <row r="933" spans="1:26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Z933" s="58"/>
    </row>
    <row r="934" spans="1:26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Z934" s="58"/>
    </row>
    <row r="935" spans="1:26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Z935" s="58"/>
    </row>
    <row r="936" spans="1:2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Z936" s="58"/>
    </row>
    <row r="937" spans="1:26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Z937" s="58"/>
    </row>
    <row r="938" spans="1:26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Z938" s="58"/>
    </row>
    <row r="939" spans="1:26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Z939" s="58"/>
    </row>
    <row r="940" spans="1:26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Z940" s="58"/>
    </row>
    <row r="941" spans="1:26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Z941" s="58"/>
    </row>
    <row r="942" spans="1:26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Z942" s="58"/>
    </row>
    <row r="943" spans="1:26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Z943" s="58"/>
    </row>
    <row r="944" spans="1:26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Z944" s="58"/>
    </row>
    <row r="945" spans="1:26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Z945" s="58"/>
    </row>
    <row r="946" spans="1:2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Z946" s="58"/>
    </row>
    <row r="947" spans="1:26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Z947" s="58"/>
    </row>
    <row r="948" spans="1:26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Z948" s="58"/>
    </row>
    <row r="949" spans="1:26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Z949" s="58"/>
    </row>
    <row r="950" spans="1:26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Z950" s="58"/>
    </row>
    <row r="951" spans="1:26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Z951" s="58"/>
    </row>
    <row r="952" spans="1:26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Z952" s="58"/>
    </row>
    <row r="953" spans="1:26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Z953" s="58"/>
    </row>
    <row r="954" spans="1:26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Z954" s="58"/>
    </row>
    <row r="955" spans="1:26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Z955" s="58"/>
    </row>
    <row r="956" spans="1:2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Z956" s="58"/>
    </row>
    <row r="957" spans="1:26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Z957" s="58"/>
    </row>
    <row r="958" spans="1:26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Z958" s="58"/>
    </row>
    <row r="959" spans="1:26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Z959" s="58"/>
    </row>
    <row r="960" spans="1:26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Z960" s="58"/>
    </row>
    <row r="961" spans="1:26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Z961" s="58"/>
    </row>
    <row r="962" spans="1:26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Z962" s="58"/>
    </row>
    <row r="963" spans="1:26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Z963" s="58"/>
    </row>
    <row r="964" spans="1:26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Z964" s="58"/>
    </row>
    <row r="965" spans="1:26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Z965" s="58"/>
    </row>
    <row r="966" spans="1:2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Z966" s="58"/>
    </row>
    <row r="967" spans="1:26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Z967" s="58"/>
    </row>
    <row r="968" spans="1:26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Z968" s="58"/>
    </row>
    <row r="969" spans="1:26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Z969" s="58"/>
    </row>
    <row r="970" spans="1:26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Z970" s="58"/>
    </row>
    <row r="971" spans="1:26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Z971" s="58"/>
    </row>
    <row r="972" spans="1:26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Z972" s="58"/>
    </row>
    <row r="973" spans="1:26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Z973" s="58"/>
    </row>
    <row r="974" spans="1:26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Z974" s="58"/>
    </row>
    <row r="975" spans="1:26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Z975" s="58"/>
    </row>
    <row r="976" spans="1:2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Z976" s="58"/>
    </row>
    <row r="977" spans="1:26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Z977" s="58"/>
    </row>
    <row r="978" spans="1:26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Z978" s="58"/>
    </row>
    <row r="979" spans="1:26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Z979" s="58"/>
    </row>
    <row r="980" spans="1:26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Z980" s="58"/>
    </row>
    <row r="981" spans="1:26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Z981" s="58"/>
    </row>
    <row r="982" spans="1:26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Z982" s="58"/>
    </row>
    <row r="983" spans="1:26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Z983" s="58"/>
    </row>
    <row r="984" spans="1:26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Z984" s="58"/>
    </row>
    <row r="985" spans="1:26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Z985" s="58"/>
    </row>
    <row r="986" spans="1:2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Z986" s="58"/>
    </row>
    <row r="987" spans="1:26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Z987" s="58"/>
    </row>
    <row r="988" spans="1:26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Z988" s="58"/>
    </row>
    <row r="989" spans="1:26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Z989" s="58"/>
    </row>
    <row r="990" spans="1:26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Z990" s="58"/>
    </row>
    <row r="991" spans="1:26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Z991" s="58"/>
    </row>
    <row r="992" spans="1:26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Z992" s="58"/>
    </row>
    <row r="993" spans="1:26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Z993" s="58"/>
    </row>
    <row r="994" spans="1:26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Z994" s="58"/>
    </row>
    <row r="995" spans="1:26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Z995" s="58"/>
    </row>
    <row r="996" spans="1:2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Z996" s="58"/>
    </row>
    <row r="997" spans="1:26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Z997" s="58"/>
    </row>
    <row r="998" spans="1:26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Z998" s="58"/>
    </row>
    <row r="999" spans="1:26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Z999" s="58"/>
    </row>
    <row r="1000" spans="1:26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Z1000" s="58"/>
    </row>
    <row r="1001" spans="1:26" ht="15.75" customHeight="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Z1001" s="58"/>
    </row>
    <row r="1002" spans="1:26" ht="15.75" customHeight="1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Z1002" s="58"/>
    </row>
    <row r="1003" spans="1:26" ht="15.75" customHeight="1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Z1003" s="58"/>
    </row>
    <row r="1004" spans="1:26" ht="15.75" customHeight="1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Z1004" s="58"/>
    </row>
    <row r="1005" spans="1:26" ht="15.75" customHeight="1">
      <c r="A1005" s="58"/>
      <c r="B1005" s="58"/>
      <c r="C1005" s="58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Z1005" s="5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1"/>
  <sheetViews>
    <sheetView workbookViewId="0"/>
  </sheetViews>
  <sheetFormatPr baseColWidth="10" defaultColWidth="11.1640625" defaultRowHeight="15" customHeight="1"/>
  <sheetData>
    <row r="1" spans="1:3">
      <c r="A1" s="15" t="s">
        <v>81</v>
      </c>
      <c r="B1" s="35" t="s">
        <v>82</v>
      </c>
    </row>
    <row r="2" spans="1:3">
      <c r="A2" s="15" t="s">
        <v>38</v>
      </c>
      <c r="B2" s="35" t="s">
        <v>83</v>
      </c>
      <c r="C2" s="35">
        <v>2</v>
      </c>
    </row>
    <row r="3" spans="1:3">
      <c r="A3" s="15" t="s">
        <v>24</v>
      </c>
      <c r="B3" s="35" t="s">
        <v>84</v>
      </c>
      <c r="C3" s="35">
        <v>3</v>
      </c>
    </row>
    <row r="4" spans="1:3">
      <c r="A4" s="15" t="s">
        <v>25</v>
      </c>
      <c r="B4" s="35" t="s">
        <v>85</v>
      </c>
      <c r="C4" s="35">
        <v>4</v>
      </c>
    </row>
    <row r="5" spans="1:3">
      <c r="A5" s="15" t="s">
        <v>26</v>
      </c>
      <c r="B5" s="35" t="s">
        <v>86</v>
      </c>
      <c r="C5" s="35">
        <v>14</v>
      </c>
    </row>
    <row r="6" spans="1:3">
      <c r="A6" s="3" t="s">
        <v>27</v>
      </c>
      <c r="B6" s="38" t="s">
        <v>87</v>
      </c>
      <c r="C6" s="35">
        <v>21</v>
      </c>
    </row>
    <row r="7" spans="1:3">
      <c r="A7" s="15"/>
      <c r="B7" s="35"/>
      <c r="C7" s="35"/>
    </row>
    <row r="8" spans="1:3">
      <c r="A8" s="15"/>
      <c r="B8" s="35"/>
      <c r="C8" s="35"/>
    </row>
    <row r="9" spans="1:3">
      <c r="A9" s="15"/>
      <c r="B9" s="35"/>
      <c r="C9" s="35"/>
    </row>
    <row r="10" spans="1:3">
      <c r="A10" s="15"/>
      <c r="B10" s="35"/>
      <c r="C10" s="35"/>
    </row>
    <row r="11" spans="1:3">
      <c r="A11" s="15"/>
      <c r="B1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NYYC19 Summary</vt:lpstr>
      <vt:lpstr>NYYC19 R1</vt:lpstr>
      <vt:lpstr>NYYC19 R2</vt:lpstr>
      <vt:lpstr>NYYC19 R3</vt:lpstr>
      <vt:lpstr>NYYC19 R4</vt:lpstr>
      <vt:lpstr>NYYC19 R5</vt:lpstr>
      <vt:lpstr>NYYC19 R6</vt:lpstr>
      <vt:lpstr>NYYC19 R7</vt:lpstr>
      <vt:lpstr>BoatIDs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2019-07-20T14:41:39Z</dcterms:created>
  <dcterms:modified xsi:type="dcterms:W3CDTF">2019-07-20T20:16:55Z</dcterms:modified>
</cp:coreProperties>
</file>